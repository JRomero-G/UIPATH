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nom\Documents\Proyecto NEXUS\Archivos de contratación\wetransfer_informacion-de-procesos-de-contratacion-impocruz-ec-s-a-s_2026-02-04_1614\"/>
    </mc:Choice>
  </mc:AlternateContent>
  <xr:revisionPtr revIDLastSave="0" documentId="13_ncr:1_{74313795-884D-4E28-8B22-E605A2079E50}" xr6:coauthVersionLast="47" xr6:coauthVersionMax="47" xr10:uidLastSave="{00000000-0000-0000-0000-000000000000}"/>
  <bookViews>
    <workbookView xWindow="-108" yWindow="-108" windowWidth="23256" windowHeight="12456" tabRatio="601" activeTab="1" xr2:uid="{2A2A25E1-4365-417C-89A3-57BC91F11C8C}"/>
  </bookViews>
  <sheets>
    <sheet name="Cotización " sheetId="490" r:id="rId1"/>
    <sheet name="Costos" sheetId="491" r:id="rId2"/>
  </sheets>
  <definedNames>
    <definedName name="_xlnm.Print_Area" localSheetId="0">'Cotización '!$A$1:$I$29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1" i="491" l="1"/>
  <c r="H20" i="491"/>
  <c r="H19" i="491"/>
  <c r="H18" i="491"/>
  <c r="H17" i="491"/>
  <c r="H16" i="491"/>
  <c r="H15" i="491"/>
  <c r="H22" i="491" s="1"/>
  <c r="K8" i="491" s="1"/>
  <c r="H20" i="490"/>
  <c r="I20" i="490" s="1"/>
  <c r="H21" i="490"/>
  <c r="I21" i="490" s="1"/>
  <c r="H19" i="490"/>
  <c r="I19" i="490" s="1"/>
  <c r="H18" i="490"/>
  <c r="H17" i="490"/>
  <c r="H16" i="490"/>
  <c r="G18" i="490"/>
  <c r="A17" i="490"/>
  <c r="I15" i="490"/>
  <c r="I17" i="490" l="1"/>
  <c r="I18" i="490"/>
  <c r="I16" i="490"/>
  <c r="A18" i="490"/>
  <c r="I26" i="490" l="1"/>
  <c r="A19" i="490"/>
  <c r="K6" i="491" l="1"/>
  <c r="E23" i="491" s="1"/>
  <c r="K7" i="491"/>
  <c r="A20" i="490"/>
  <c r="I28" i="490"/>
  <c r="I29" i="490" s="1"/>
  <c r="A21" i="490" l="1"/>
</calcChain>
</file>

<file path=xl/sharedStrings.xml><?xml version="1.0" encoding="utf-8"?>
<sst xmlns="http://schemas.openxmlformats.org/spreadsheetml/2006/main" count="62" uniqueCount="53">
  <si>
    <t>IMPOCRUZ EC S.A.S</t>
  </si>
  <si>
    <t>FECHA:</t>
  </si>
  <si>
    <t>RUC:</t>
  </si>
  <si>
    <t>DIRECCIÓN:</t>
  </si>
  <si>
    <t>Edif. The Point, of. 902 Puerto Santa Ana - Guayaquil</t>
  </si>
  <si>
    <t>CORREO:</t>
  </si>
  <si>
    <t>importadoracruzec@gmail.com</t>
  </si>
  <si>
    <t>PÁGINA WEB:</t>
  </si>
  <si>
    <t>https://www.impocruz.com/</t>
  </si>
  <si>
    <t>CELULAR:</t>
  </si>
  <si>
    <t>CLIENTE:</t>
  </si>
  <si>
    <t>VALIDEZ DE LA OFERTA:</t>
  </si>
  <si>
    <t>TIEMPO DE ENTREGA:</t>
  </si>
  <si>
    <t>Av. Ladrón de Guevara E11-253 y Andalucía</t>
  </si>
  <si>
    <t>FORMA DE PAGO:</t>
  </si>
  <si>
    <t>ATENCIÓN:</t>
  </si>
  <si>
    <t>Lorena López</t>
  </si>
  <si>
    <t>CODIGO NECESIDAD DE CONTRATACION:</t>
  </si>
  <si>
    <t>NIC-1768183440001-2025-00083</t>
  </si>
  <si>
    <t>GARANTÍA TÉCNICA:</t>
  </si>
  <si>
    <t xml:space="preserve"> </t>
  </si>
  <si>
    <t>Ítem</t>
  </si>
  <si>
    <t>CPC</t>
  </si>
  <si>
    <t>Producto</t>
  </si>
  <si>
    <t>U/M</t>
  </si>
  <si>
    <t>Cantidad</t>
  </si>
  <si>
    <t>Costo unitario</t>
  </si>
  <si>
    <t>Costo total</t>
  </si>
  <si>
    <t>COSTO TOTAL</t>
  </si>
  <si>
    <t>U</t>
  </si>
  <si>
    <t>Subtotal:</t>
  </si>
  <si>
    <t>IVA 0%:</t>
  </si>
  <si>
    <t>Gerente General</t>
  </si>
  <si>
    <t>IVA 15%:</t>
  </si>
  <si>
    <t>Total:</t>
  </si>
  <si>
    <t>Subtotal venta:</t>
  </si>
  <si>
    <t>Ganancia:</t>
  </si>
  <si>
    <t>Inversión:</t>
  </si>
  <si>
    <t>LINK DEL PROCESO</t>
  </si>
  <si>
    <t>PAC</t>
  </si>
  <si>
    <t>PRODUCTO</t>
  </si>
  <si>
    <t>CANTIDAD</t>
  </si>
  <si>
    <t>OTRAS OPCIONES</t>
  </si>
  <si>
    <t>Sección de costos - NO SE DEBE INCLUIR ESTA SECCIÓN EN EL PDF A ENTREGAR A LA ENTIDAD</t>
  </si>
  <si>
    <r>
      <rPr>
        <b/>
        <sz val="12"/>
        <color rgb="FFFF0000"/>
        <rFont val="Calibri"/>
        <family val="2"/>
        <scheme val="minor"/>
      </rPr>
      <t>Valor real:</t>
    </r>
    <r>
      <rPr>
        <b/>
        <sz val="12"/>
        <color theme="1"/>
        <rFont val="Calibri"/>
        <family val="2"/>
        <scheme val="minor"/>
      </rPr>
      <t xml:space="preserve"> lo que nos cuesta el producto.</t>
    </r>
  </si>
  <si>
    <r>
      <rPr>
        <b/>
        <sz val="12"/>
        <color rgb="FFFF0000"/>
        <rFont val="Calibri"/>
        <family val="2"/>
        <scheme val="minor"/>
      </rPr>
      <t>Costo final:</t>
    </r>
    <r>
      <rPr>
        <b/>
        <sz val="12"/>
        <color theme="1"/>
        <rFont val="Calibri"/>
        <family val="2"/>
        <scheme val="minor"/>
      </rPr>
      <t xml:space="preserve"> valor real + gestiones de importación en caso de que el producto se compre en el extranjero y los demás costos correspondientes a la gestión de entrega.</t>
    </r>
  </si>
  <si>
    <r>
      <rPr>
        <b/>
        <sz val="12"/>
        <color rgb="FFFF0000"/>
        <rFont val="Calibri"/>
        <family val="2"/>
        <scheme val="minor"/>
      </rPr>
      <t>Costo total:</t>
    </r>
    <r>
      <rPr>
        <b/>
        <sz val="12"/>
        <color theme="1"/>
        <rFont val="Calibri"/>
        <family val="2"/>
        <scheme val="minor"/>
      </rPr>
      <t xml:space="preserve"> Costo final + cantidad.</t>
    </r>
  </si>
  <si>
    <t>Valor de inversiòn total</t>
  </si>
  <si>
    <t>Ing. José Cruz Álvarez</t>
  </si>
  <si>
    <t>COSTO FINAL (UNITARIO)</t>
  </si>
  <si>
    <t>VALOR REAL (UNITARIO)</t>
  </si>
  <si>
    <t xml:space="preserve">PROFORMA NÚMERO: </t>
  </si>
  <si>
    <t>OPCIÓN RECOMENDADA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</si>
</sst>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* #,##0.00\ &quot;€&quot;_-;\-* #,##0.00\ &quot;€&quot;_-;_-* &quot;-&quot;??\ &quot;€&quot;_-;_-@_-"/>
    <numFmt numFmtId="165" formatCode="&quot;$&quot;#,##0_);[Red]\(&quot;$&quot;#,##0\)"/>
    <numFmt numFmtId="166" formatCode="0000000000000"/>
    <numFmt numFmtId="167" formatCode="0000000000"/>
    <numFmt numFmtId="168" formatCode="[$$-300A]#,##0.00"/>
    <numFmt numFmtId="169" formatCode="_ [$$-300A]* #,##0.00_ ;_ [$$-300A]* \-#,##0.00_ ;_ [$$-300A]* &quot;-&quot;??_ ;_ @_ "/>
    <numFmt numFmtId="170" formatCode="&quot;$&quot;#,##0.00"/>
    <numFmt numFmtId="171" formatCode="&quot;$&quot;\ #,##0.00"/>
  </numFmts>
  <fonts count="6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186AB4"/>
      <name val="Century Gothic"/>
    </font>
    <font>
      <b/>
      <sz val="11"/>
      <color rgb="FF3F3F3F"/>
      <name val="Calibri"/>
      <scheme val="minor"/>
    </font>
    <font>
      <sz val="12"/>
      <color theme="3"/>
      <name val="Bahnschrift SemiBold"/>
    </font>
    <font>
      <sz val="12"/>
      <color theme="1"/>
      <name val="Calibri"/>
      <family val="2"/>
      <scheme val="minor"/>
    </font>
    <font>
      <sz val="12"/>
      <color theme="1"/>
      <name val="Bahnschrift SemiBold"/>
    </font>
    <font>
      <b/>
      <sz val="12"/>
      <color theme="6"/>
      <name val="Calibri"/>
      <family val="2"/>
      <scheme val="minor"/>
    </font>
    <font>
      <b/>
      <sz val="10"/>
      <color theme="6"/>
      <name val="Calibri"/>
      <family val="1"/>
      <scheme val="minor"/>
    </font>
    <font>
      <b/>
      <sz val="28"/>
      <color theme="0"/>
      <name val="Times New Roman"/>
      <family val="1"/>
    </font>
    <font>
      <sz val="12"/>
      <color rgb="FF4D4D4D"/>
      <name val="Century Gothic"/>
    </font>
    <font>
      <sz val="11"/>
      <color rgb="FF4D4D4D"/>
      <name val="Century Gothic"/>
    </font>
    <font>
      <sz val="12"/>
      <color theme="1" tint="0.249977111117893"/>
      <name val="Aptos Narrow"/>
      <family val="1"/>
    </font>
    <font>
      <sz val="10"/>
      <color theme="1" tint="0.249977111117893"/>
      <name val="Century Gothic"/>
      <family val="1"/>
    </font>
    <font>
      <sz val="12"/>
      <color theme="3"/>
      <name val="Aptos Narrow"/>
      <family val="1"/>
    </font>
    <font>
      <b/>
      <sz val="10"/>
      <color rgb="FF000000"/>
      <name val="Arial"/>
    </font>
    <font>
      <sz val="12"/>
      <color rgb="FF000000"/>
      <name val="Calibri"/>
      <family val="2"/>
      <scheme val="minor"/>
    </font>
    <font>
      <b/>
      <sz val="16"/>
      <color rgb="FF186AB4"/>
      <name val="Century Gothic"/>
    </font>
    <font>
      <b/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28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rgb="FF186AB4"/>
      <name val="Century Gothic"/>
    </font>
    <font>
      <b/>
      <sz val="16"/>
      <color theme="1"/>
      <name val="Calibri"/>
      <family val="2"/>
      <scheme val="minor"/>
    </font>
    <font>
      <sz val="12"/>
      <color rgb="FF000000"/>
      <name val="Calibri"/>
    </font>
    <font>
      <u/>
      <sz val="11"/>
      <color theme="10"/>
      <name val="Century Gothic"/>
    </font>
    <font>
      <b/>
      <sz val="12"/>
      <color theme="1"/>
      <name val="JasmineUPC"/>
    </font>
    <font>
      <sz val="12"/>
      <color theme="1"/>
      <name val="JasmineUPC"/>
    </font>
    <font>
      <b/>
      <sz val="20"/>
      <color theme="1"/>
      <name val="JasmineUPC"/>
    </font>
    <font>
      <sz val="16"/>
      <color theme="1"/>
      <name val="JasmineUPC"/>
    </font>
    <font>
      <sz val="18"/>
      <color theme="1" tint="0.249977111117893"/>
      <name val="JasmineUPC"/>
    </font>
    <font>
      <sz val="18"/>
      <color theme="1"/>
      <name val="JasmineUPC"/>
    </font>
    <font>
      <sz val="20"/>
      <color theme="1"/>
      <name val="JasmineUPC"/>
    </font>
    <font>
      <b/>
      <sz val="20"/>
      <color rgb="FF000000"/>
      <name val="JasmineUPC"/>
    </font>
    <font>
      <sz val="20"/>
      <color theme="1" tint="0.249977111117893"/>
      <name val="JasmineUPC"/>
    </font>
    <font>
      <u/>
      <sz val="20"/>
      <color theme="1" tint="0.249977111117893"/>
      <name val="JasmineUPC"/>
    </font>
    <font>
      <sz val="10"/>
      <color rgb="FF4D4D4D"/>
      <name val="Century Gothic"/>
    </font>
    <font>
      <b/>
      <sz val="36"/>
      <color rgb="FF000000"/>
      <name val="JasmineUPC"/>
    </font>
    <font>
      <b/>
      <sz val="36"/>
      <color theme="1"/>
      <name val="JasmineUPC"/>
    </font>
    <font>
      <sz val="10"/>
      <color rgb="FF212529"/>
      <name val="Arial"/>
      <charset val="1"/>
    </font>
    <font>
      <sz val="9"/>
      <color rgb="FF4D4D4D"/>
      <name val="Century Gothic"/>
    </font>
    <font>
      <sz val="9"/>
      <color rgb="FF565959"/>
      <name val="Amazon Ember"/>
      <charset val="1"/>
    </font>
    <font>
      <b/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4D4D4D"/>
      <name val="Century Gothic"/>
      <family val="2"/>
    </font>
    <font>
      <u/>
      <sz val="13"/>
      <color theme="10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rgb="FFFF0000"/>
      <name val="Calibri"/>
      <family val="2"/>
      <scheme val="minor"/>
    </font>
    <font>
      <b/>
      <u/>
      <sz val="13"/>
      <color rgb="FFFF0000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28"/>
      <color rgb="FFFF0000"/>
      <name val="Calibri"/>
      <family val="2"/>
      <scheme val="minor"/>
    </font>
    <font>
      <sz val="11"/>
      <color theme="1"/>
      <name val="Century Gothic"/>
      <family val="2"/>
    </font>
    <font>
      <b/>
      <sz val="12"/>
      <color theme="1"/>
      <name val="Century Gothic"/>
      <family val="2"/>
    </font>
    <font>
      <sz val="12"/>
      <color theme="1" tint="0.249977111117893"/>
      <name val="Century Gothic"/>
      <family val="2"/>
    </font>
    <font>
      <u/>
      <sz val="11"/>
      <color theme="10"/>
      <name val="Century Gothic"/>
      <family val="2"/>
    </font>
    <font>
      <b/>
      <sz val="11"/>
      <color theme="1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A4E2FE"/>
        <bgColor indexed="64"/>
      </patternFill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</fills>
  <borders count="52">
    <border>
      <left/>
      <right/>
      <top/>
      <bottom/>
      <diagonal/>
    </border>
    <border>
      <left/>
      <right/>
      <top/>
      <bottom style="medium">
        <color rgb="FF186AB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186AB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186AB4"/>
      </left>
      <right style="thin">
        <color rgb="FF186AB4"/>
      </right>
      <top style="thin">
        <color rgb="FF186AB4"/>
      </top>
      <bottom style="thin">
        <color rgb="FF186AB4"/>
      </bottom>
      <diagonal/>
    </border>
    <border>
      <left style="thin">
        <color rgb="FF186AB4"/>
      </left>
      <right/>
      <top style="thin">
        <color rgb="FF186AB4"/>
      </top>
      <bottom style="thin">
        <color rgb="FF186AB4"/>
      </bottom>
      <diagonal/>
    </border>
    <border>
      <left/>
      <right/>
      <top style="thin">
        <color rgb="FF186AB4"/>
      </top>
      <bottom style="thin">
        <color rgb="FF186AB4"/>
      </bottom>
      <diagonal/>
    </border>
    <border>
      <left/>
      <right style="thin">
        <color rgb="FF186AB4"/>
      </right>
      <top style="thin">
        <color rgb="FF186AB4"/>
      </top>
      <bottom style="thin">
        <color rgb="FF186AB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186AB4"/>
      </left>
      <right/>
      <top style="thin">
        <color rgb="FF186AB4"/>
      </top>
      <bottom/>
      <diagonal/>
    </border>
    <border>
      <left/>
      <right/>
      <top style="thin">
        <color rgb="FF186AB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186AB4"/>
      </left>
      <right style="thin">
        <color rgb="FF186AB4"/>
      </right>
      <top style="thin">
        <color rgb="FF186AB4"/>
      </top>
      <bottom/>
      <diagonal/>
    </border>
    <border>
      <left style="thin">
        <color rgb="FF186AB4"/>
      </left>
      <right style="thin">
        <color rgb="FF186AB4"/>
      </right>
      <top/>
      <bottom style="thin">
        <color rgb="FF186AB4"/>
      </bottom>
      <diagonal/>
    </border>
    <border>
      <left style="thin">
        <color rgb="FF186AB4"/>
      </left>
      <right/>
      <top/>
      <bottom style="thin">
        <color rgb="FF186AB4"/>
      </bottom>
      <diagonal/>
    </border>
    <border>
      <left/>
      <right/>
      <top/>
      <bottom style="thin">
        <color rgb="FF186AB4"/>
      </bottom>
      <diagonal/>
    </border>
    <border>
      <left/>
      <right style="thin">
        <color rgb="FF186AB4"/>
      </right>
      <top/>
      <bottom style="thin">
        <color rgb="FF186AB4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indexed="64"/>
      </right>
      <top style="thin">
        <color rgb="FF0070C0"/>
      </top>
      <bottom style="thin">
        <color rgb="FF0070C0"/>
      </bottom>
      <diagonal/>
    </border>
    <border>
      <left style="thin">
        <color indexed="64"/>
      </left>
      <right style="thin">
        <color indexed="64"/>
      </right>
      <top style="thin">
        <color rgb="FF0070C0"/>
      </top>
      <bottom style="thin">
        <color rgb="FF0070C0"/>
      </bottom>
      <diagonal/>
    </border>
    <border>
      <left style="thin">
        <color indexed="64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/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/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/>
      <right style="thin">
        <color rgb="FF0070C0"/>
      </right>
      <top style="thin">
        <color rgb="FF0070C0"/>
      </top>
      <bottom style="thin">
        <color rgb="FF0070C0"/>
      </bottom>
      <diagonal/>
    </border>
    <border>
      <left/>
      <right/>
      <top/>
      <bottom style="thin">
        <color rgb="FF0070C0"/>
      </bottom>
      <diagonal/>
    </border>
    <border>
      <left style="thin">
        <color rgb="FF186AB4"/>
      </left>
      <right/>
      <top/>
      <bottom/>
      <diagonal/>
    </border>
    <border>
      <left/>
      <right style="thin">
        <color rgb="FF186AB4"/>
      </right>
      <top/>
      <bottom/>
      <diagonal/>
    </border>
    <border>
      <left style="thin">
        <color rgb="FF186AB4"/>
      </left>
      <right style="thin">
        <color rgb="FF186AB4"/>
      </right>
      <top/>
      <bottom/>
      <diagonal/>
    </border>
    <border>
      <left style="thin">
        <color rgb="FF0070C0"/>
      </left>
      <right/>
      <top/>
      <bottom/>
      <diagonal/>
    </border>
    <border>
      <left/>
      <right/>
      <top style="thin">
        <color rgb="FF0070C0"/>
      </top>
      <bottom/>
      <diagonal/>
    </border>
    <border>
      <left style="thin">
        <color rgb="FF0070C0"/>
      </left>
      <right style="thin">
        <color rgb="FF0070C0"/>
      </right>
      <top/>
      <bottom style="thin">
        <color rgb="FF186AB4"/>
      </bottom>
      <diagonal/>
    </border>
    <border>
      <left style="thin">
        <color rgb="FF0070C0"/>
      </left>
      <right style="thin">
        <color rgb="FF0070C0"/>
      </right>
      <top style="thin">
        <color rgb="FF186AB4"/>
      </top>
      <bottom style="thin">
        <color rgb="FF186AB4"/>
      </bottom>
      <diagonal/>
    </border>
    <border>
      <left style="thin">
        <color rgb="FF0070C0"/>
      </left>
      <right style="thin">
        <color rgb="FF0070C0"/>
      </right>
      <top style="thin">
        <color rgb="FF186AB4"/>
      </top>
      <bottom/>
      <diagonal/>
    </border>
    <border>
      <left style="thin">
        <color rgb="FF0070C0"/>
      </left>
      <right style="thin">
        <color rgb="FF0070C0"/>
      </right>
      <top/>
      <bottom/>
      <diagonal/>
    </border>
    <border>
      <left style="thin">
        <color rgb="FF0070C0"/>
      </left>
      <right/>
      <top style="thin">
        <color rgb="FF0070C0"/>
      </top>
      <bottom/>
      <diagonal/>
    </border>
    <border>
      <left/>
      <right/>
      <top style="thin">
        <color rgb="FF0070C0"/>
      </top>
      <bottom style="thin">
        <color rgb="FF0070C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3" borderId="2" applyNumberFormat="0" applyAlignment="0" applyProtection="0"/>
    <xf numFmtId="0" fontId="8" fillId="0" borderId="0" applyFill="0" applyBorder="0" applyAlignment="0" applyProtection="0"/>
    <xf numFmtId="0" fontId="9" fillId="0" borderId="0">
      <alignment horizontal="right"/>
    </xf>
    <xf numFmtId="0" fontId="2" fillId="0" borderId="0" applyNumberFormat="0" applyFill="0" applyBorder="0" applyAlignment="0" applyProtection="0"/>
  </cellStyleXfs>
  <cellXfs count="258">
    <xf numFmtId="0" fontId="0" fillId="0" borderId="0" xfId="0"/>
    <xf numFmtId="0" fontId="3" fillId="0" borderId="0" xfId="0" applyFont="1" applyAlignment="1">
      <alignment vertical="center" wrapText="1"/>
    </xf>
    <xf numFmtId="170" fontId="5" fillId="0" borderId="0" xfId="0" applyNumberFormat="1" applyFont="1" applyAlignment="1">
      <alignment vertical="center"/>
    </xf>
    <xf numFmtId="0" fontId="6" fillId="0" borderId="0" xfId="0" applyFont="1"/>
    <xf numFmtId="0" fontId="3" fillId="0" borderId="0" xfId="0" applyFont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11" fillId="0" borderId="0" xfId="0" applyFont="1" applyAlignment="1">
      <alignment horizontal="right" vertical="center"/>
    </xf>
    <xf numFmtId="0" fontId="6" fillId="0" borderId="1" xfId="0" applyFont="1" applyBorder="1"/>
    <xf numFmtId="168" fontId="11" fillId="0" borderId="0" xfId="0" applyNumberFormat="1" applyFont="1" applyAlignment="1">
      <alignment horizontal="right"/>
    </xf>
    <xf numFmtId="168" fontId="11" fillId="0" borderId="0" xfId="0" applyNumberFormat="1" applyFont="1" applyAlignment="1">
      <alignment horizontal="right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169" fontId="0" fillId="0" borderId="0" xfId="0" applyNumberFormat="1"/>
    <xf numFmtId="14" fontId="11" fillId="0" borderId="0" xfId="0" applyNumberFormat="1" applyFont="1" applyAlignment="1">
      <alignment horizontal="right" vertical="center"/>
    </xf>
    <xf numFmtId="0" fontId="11" fillId="0" borderId="0" xfId="0" applyFont="1" applyAlignment="1">
      <alignment horizontal="right" vertical="center" wrapText="1"/>
    </xf>
    <xf numFmtId="0" fontId="0" fillId="0" borderId="0" xfId="0" applyAlignment="1">
      <alignment horizontal="left"/>
    </xf>
    <xf numFmtId="0" fontId="6" fillId="0" borderId="0" xfId="0" applyFont="1" applyAlignment="1">
      <alignment horizontal="left"/>
    </xf>
    <xf numFmtId="0" fontId="6" fillId="0" borderId="1" xfId="0" applyFont="1" applyBorder="1" applyAlignment="1">
      <alignment horizontal="left"/>
    </xf>
    <xf numFmtId="0" fontId="0" fillId="0" borderId="0" xfId="0" applyAlignment="1">
      <alignment vertical="center"/>
    </xf>
    <xf numFmtId="0" fontId="11" fillId="0" borderId="0" xfId="0" applyFont="1" applyAlignment="1">
      <alignment horizontal="left" vertical="center"/>
    </xf>
    <xf numFmtId="1" fontId="12" fillId="0" borderId="13" xfId="0" applyNumberFormat="1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169" fontId="12" fillId="0" borderId="13" xfId="0" applyNumberFormat="1" applyFont="1" applyBorder="1" applyAlignment="1">
      <alignment horizontal="center" vertical="center" wrapText="1"/>
    </xf>
    <xf numFmtId="0" fontId="43" fillId="0" borderId="0" xfId="0" applyFont="1"/>
    <xf numFmtId="0" fontId="3" fillId="0" borderId="0" xfId="0" applyFont="1" applyAlignment="1">
      <alignment horizontal="right" vertical="center"/>
    </xf>
    <xf numFmtId="0" fontId="11" fillId="0" borderId="0" xfId="6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6" applyAlignment="1">
      <alignment horizontal="center" vertical="center" wrapText="1"/>
    </xf>
    <xf numFmtId="0" fontId="14" fillId="0" borderId="0" xfId="0" applyFont="1" applyFill="1" applyBorder="1" applyAlignment="1">
      <alignment vertical="center"/>
    </xf>
    <xf numFmtId="43" fontId="14" fillId="0" borderId="0" xfId="2" applyFont="1" applyFill="1" applyBorder="1" applyAlignment="1">
      <alignment vertical="center"/>
    </xf>
    <xf numFmtId="0" fontId="32" fillId="0" borderId="0" xfId="0" applyFont="1" applyFill="1" applyBorder="1" applyAlignment="1">
      <alignment vertical="center"/>
    </xf>
    <xf numFmtId="0" fontId="32" fillId="0" borderId="0" xfId="3" applyFont="1" applyFill="1" applyBorder="1" applyAlignment="1">
      <alignment horizontal="left" vertical="center" wrapText="1"/>
    </xf>
    <xf numFmtId="166" fontId="35" fillId="0" borderId="0" xfId="0" applyNumberFormat="1" applyFont="1" applyFill="1" applyBorder="1" applyAlignment="1">
      <alignment horizontal="left" vertical="center" wrapText="1"/>
    </xf>
    <xf numFmtId="0" fontId="31" fillId="0" borderId="0" xfId="0" applyFont="1" applyFill="1" applyBorder="1" applyAlignment="1">
      <alignment vertical="center"/>
    </xf>
    <xf numFmtId="0" fontId="32" fillId="0" borderId="0" xfId="3" applyFont="1" applyFill="1" applyBorder="1" applyAlignment="1">
      <alignment horizontal="left" vertical="center"/>
    </xf>
    <xf numFmtId="166" fontId="35" fillId="0" borderId="0" xfId="3" applyNumberFormat="1" applyFont="1" applyFill="1" applyBorder="1" applyAlignment="1">
      <alignment horizontal="left" vertical="center"/>
    </xf>
    <xf numFmtId="0" fontId="30" fillId="0" borderId="0" xfId="0" applyFont="1" applyFill="1" applyBorder="1" applyAlignment="1">
      <alignment vertical="center" wrapText="1"/>
    </xf>
    <xf numFmtId="0" fontId="35" fillId="0" borderId="0" xfId="0" applyFont="1" applyFill="1" applyBorder="1" applyAlignment="1">
      <alignment horizontal="left" vertical="center" wrapText="1"/>
    </xf>
    <xf numFmtId="0" fontId="34" fillId="0" borderId="0" xfId="0" applyFont="1" applyFill="1" applyBorder="1" applyAlignment="1">
      <alignment vertical="center"/>
    </xf>
    <xf numFmtId="0" fontId="32" fillId="0" borderId="0" xfId="3" applyFont="1" applyFill="1" applyBorder="1" applyAlignment="1">
      <alignment vertical="center"/>
    </xf>
    <xf numFmtId="0" fontId="35" fillId="0" borderId="0" xfId="0" applyFont="1" applyFill="1" applyBorder="1" applyAlignment="1">
      <alignment horizontal="center" vertical="center" wrapText="1"/>
    </xf>
    <xf numFmtId="0" fontId="37" fillId="0" borderId="0" xfId="0" applyFont="1" applyFill="1" applyBorder="1" applyAlignment="1">
      <alignment vertical="center"/>
    </xf>
    <xf numFmtId="0" fontId="36" fillId="0" borderId="0" xfId="0" applyFont="1" applyFill="1" applyBorder="1" applyAlignment="1">
      <alignment vertical="center"/>
    </xf>
    <xf numFmtId="0" fontId="36" fillId="0" borderId="0" xfId="0" applyFont="1" applyFill="1" applyBorder="1" applyAlignment="1">
      <alignment vertical="top" wrapText="1"/>
    </xf>
    <xf numFmtId="0" fontId="36" fillId="0" borderId="0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vertical="center"/>
    </xf>
    <xf numFmtId="0" fontId="32" fillId="0" borderId="0" xfId="0" applyFont="1" applyFill="1" applyBorder="1" applyAlignment="1">
      <alignment horizontal="center" vertical="center"/>
    </xf>
    <xf numFmtId="0" fontId="32" fillId="0" borderId="0" xfId="0" applyFont="1" applyFill="1" applyBorder="1" applyAlignment="1">
      <alignment horizontal="center" vertical="center" wrapText="1"/>
    </xf>
    <xf numFmtId="1" fontId="33" fillId="0" borderId="0" xfId="0" applyNumberFormat="1" applyFont="1" applyFill="1" applyBorder="1" applyAlignment="1">
      <alignment horizontal="center" vertical="center"/>
    </xf>
    <xf numFmtId="0" fontId="33" fillId="0" borderId="0" xfId="0" applyFont="1" applyFill="1" applyBorder="1" applyAlignment="1">
      <alignment horizontal="center" vertical="center" wrapText="1"/>
    </xf>
    <xf numFmtId="0" fontId="33" fillId="0" borderId="0" xfId="0" applyFont="1" applyFill="1" applyBorder="1" applyAlignment="1">
      <alignment horizontal="center" vertical="center"/>
    </xf>
    <xf numFmtId="1" fontId="33" fillId="0" borderId="0" xfId="0" applyNumberFormat="1" applyFont="1" applyFill="1" applyBorder="1" applyAlignment="1">
      <alignment horizontal="center" vertical="center" wrapText="1"/>
    </xf>
    <xf numFmtId="169" fontId="33" fillId="0" borderId="0" xfId="0" applyNumberFormat="1" applyFont="1" applyFill="1" applyBorder="1" applyAlignment="1">
      <alignment horizontal="center" vertical="center" wrapText="1"/>
    </xf>
    <xf numFmtId="1" fontId="7" fillId="0" borderId="0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/>
    </xf>
    <xf numFmtId="1" fontId="7" fillId="0" borderId="0" xfId="0" applyNumberFormat="1" applyFont="1" applyFill="1" applyBorder="1" applyAlignment="1">
      <alignment horizontal="center" vertical="center" wrapText="1"/>
    </xf>
    <xf numFmtId="169" fontId="7" fillId="0" borderId="0" xfId="0" applyNumberFormat="1" applyFont="1" applyFill="1" applyBorder="1" applyAlignment="1">
      <alignment horizontal="center" vertical="center" wrapText="1"/>
    </xf>
    <xf numFmtId="0" fontId="38" fillId="0" borderId="0" xfId="0" applyFont="1" applyFill="1" applyBorder="1" applyAlignment="1">
      <alignment vertical="center"/>
    </xf>
    <xf numFmtId="0" fontId="39" fillId="0" borderId="0" xfId="0" applyFont="1" applyFill="1" applyBorder="1" applyAlignment="1">
      <alignment vertical="center"/>
    </xf>
    <xf numFmtId="170" fontId="36" fillId="0" borderId="0" xfId="0" applyNumberFormat="1" applyFont="1" applyFill="1" applyBorder="1" applyAlignment="1">
      <alignment vertical="center"/>
    </xf>
    <xf numFmtId="0" fontId="38" fillId="0" borderId="0" xfId="0" applyFont="1" applyFill="1" applyBorder="1" applyAlignment="1">
      <alignment horizontal="center" vertical="center"/>
    </xf>
    <xf numFmtId="0" fontId="32" fillId="0" borderId="0" xfId="3" applyFont="1" applyFill="1" applyBorder="1" applyAlignment="1">
      <alignment horizontal="center" vertical="center"/>
    </xf>
    <xf numFmtId="169" fontId="36" fillId="0" borderId="0" xfId="0" applyNumberFormat="1" applyFont="1" applyFill="1" applyBorder="1" applyAlignment="1">
      <alignment vertical="center" wrapText="1"/>
    </xf>
    <xf numFmtId="0" fontId="38" fillId="0" borderId="0" xfId="0" applyFont="1" applyFill="1" applyBorder="1" applyAlignment="1">
      <alignment horizontal="center" vertical="top"/>
    </xf>
    <xf numFmtId="171" fontId="32" fillId="0" borderId="0" xfId="0" applyNumberFormat="1" applyFont="1" applyFill="1" applyBorder="1" applyAlignment="1">
      <alignment horizontal="right" vertical="center"/>
    </xf>
    <xf numFmtId="0" fontId="14" fillId="0" borderId="0" xfId="0" applyFont="1" applyFill="1" applyBorder="1" applyAlignment="1">
      <alignment horizontal="center" vertical="center"/>
    </xf>
    <xf numFmtId="0" fontId="20" fillId="0" borderId="0" xfId="4" applyFont="1" applyFill="1" applyBorder="1" applyAlignment="1">
      <alignment horizontal="right" vertical="center"/>
    </xf>
    <xf numFmtId="14" fontId="21" fillId="0" borderId="0" xfId="0" applyNumberFormat="1" applyFont="1" applyFill="1" applyBorder="1" applyAlignment="1">
      <alignment horizontal="right" vertical="center"/>
    </xf>
    <xf numFmtId="0" fontId="21" fillId="0" borderId="0" xfId="4" applyFont="1" applyFill="1" applyBorder="1" applyAlignment="1">
      <alignment horizontal="center" vertical="center"/>
    </xf>
    <xf numFmtId="0" fontId="21" fillId="0" borderId="0" xfId="4" applyFont="1" applyFill="1" applyBorder="1" applyAlignment="1">
      <alignment horizontal="right" vertical="center"/>
    </xf>
    <xf numFmtId="0" fontId="17" fillId="0" borderId="0" xfId="4" applyFont="1" applyFill="1" applyBorder="1" applyAlignment="1">
      <alignment horizontal="left" vertical="center"/>
    </xf>
    <xf numFmtId="0" fontId="21" fillId="0" borderId="0" xfId="4" applyFont="1" applyFill="1" applyBorder="1" applyAlignment="1">
      <alignment horizontal="left" vertical="center"/>
    </xf>
    <xf numFmtId="0" fontId="22" fillId="0" borderId="0" xfId="0" applyFont="1" applyFill="1" applyBorder="1" applyAlignment="1">
      <alignment horizontal="center" vertical="center"/>
    </xf>
    <xf numFmtId="0" fontId="28" fillId="0" borderId="0" xfId="4" applyFont="1" applyFill="1" applyBorder="1" applyAlignment="1">
      <alignment horizontal="left" vertical="center"/>
    </xf>
    <xf numFmtId="0" fontId="22" fillId="0" borderId="0" xfId="0" applyFont="1" applyFill="1" applyBorder="1" applyAlignment="1">
      <alignment vertical="center"/>
    </xf>
    <xf numFmtId="43" fontId="22" fillId="0" borderId="0" xfId="2" applyFont="1" applyFill="1" applyBorder="1" applyAlignment="1">
      <alignment vertical="center"/>
    </xf>
    <xf numFmtId="0" fontId="19" fillId="0" borderId="0" xfId="5" applyFont="1" applyFill="1" applyBorder="1" applyAlignment="1">
      <alignment vertical="center"/>
    </xf>
    <xf numFmtId="0" fontId="19" fillId="0" borderId="0" xfId="0" applyFont="1" applyFill="1" applyBorder="1" applyAlignment="1">
      <alignment vertical="center"/>
    </xf>
    <xf numFmtId="0" fontId="19" fillId="0" borderId="0" xfId="0" applyFont="1" applyFill="1" applyBorder="1" applyAlignment="1">
      <alignment vertical="center" wrapText="1"/>
    </xf>
    <xf numFmtId="0" fontId="17" fillId="0" borderId="0" xfId="0" applyFont="1" applyFill="1" applyBorder="1" applyAlignment="1">
      <alignment vertical="center" wrapText="1"/>
    </xf>
    <xf numFmtId="0" fontId="16" fillId="0" borderId="0" xfId="0" applyFont="1" applyFill="1" applyBorder="1" applyAlignment="1">
      <alignment horizontal="center" vertical="center"/>
    </xf>
    <xf numFmtId="43" fontId="16" fillId="0" borderId="0" xfId="2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left" vertical="center" wrapText="1"/>
    </xf>
    <xf numFmtId="1" fontId="17" fillId="0" borderId="0" xfId="0" applyNumberFormat="1" applyFont="1" applyFill="1" applyBorder="1" applyAlignment="1">
      <alignment horizontal="center" vertical="center" wrapText="1"/>
    </xf>
    <xf numFmtId="169" fontId="17" fillId="0" borderId="0" xfId="0" applyNumberFormat="1" applyFont="1" applyFill="1" applyBorder="1" applyAlignment="1">
      <alignment horizontal="center" vertical="center" wrapText="1"/>
    </xf>
    <xf numFmtId="0" fontId="17" fillId="0" borderId="0" xfId="0" applyFont="1" applyFill="1" applyBorder="1" applyAlignment="1">
      <alignment horizontal="left" vertical="center" wrapText="1"/>
    </xf>
    <xf numFmtId="43" fontId="19" fillId="0" borderId="0" xfId="2" applyFont="1" applyFill="1" applyBorder="1" applyAlignment="1">
      <alignment vertical="center"/>
    </xf>
    <xf numFmtId="43" fontId="24" fillId="0" borderId="0" xfId="2" applyFont="1" applyFill="1" applyBorder="1" applyAlignment="1">
      <alignment vertical="center"/>
    </xf>
    <xf numFmtId="1" fontId="12" fillId="0" borderId="0" xfId="0" applyNumberFormat="1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169" fontId="12" fillId="0" borderId="0" xfId="0" applyNumberFormat="1" applyFont="1" applyBorder="1" applyAlignment="1">
      <alignment horizontal="center" vertical="center" wrapText="1"/>
    </xf>
    <xf numFmtId="1" fontId="12" fillId="0" borderId="19" xfId="0" applyNumberFormat="1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 wrapText="1"/>
    </xf>
    <xf numFmtId="169" fontId="12" fillId="0" borderId="20" xfId="0" applyNumberFormat="1" applyFont="1" applyBorder="1" applyAlignment="1">
      <alignment horizontal="center" vertical="center" wrapText="1"/>
    </xf>
    <xf numFmtId="1" fontId="12" fillId="0" borderId="20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45" fillId="0" borderId="0" xfId="0" applyFont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27" fillId="2" borderId="0" xfId="0" applyFont="1" applyFill="1" applyBorder="1" applyAlignment="1">
      <alignment horizontal="center" vertical="center" wrapText="1"/>
    </xf>
    <xf numFmtId="0" fontId="25" fillId="4" borderId="0" xfId="0" applyFont="1" applyFill="1" applyBorder="1" applyAlignment="1">
      <alignment horizontal="center" vertical="center" wrapText="1"/>
    </xf>
    <xf numFmtId="169" fontId="25" fillId="4" borderId="0" xfId="0" applyNumberFormat="1" applyFont="1" applyFill="1" applyAlignment="1">
      <alignment horizontal="center" vertical="center" wrapText="1"/>
    </xf>
    <xf numFmtId="169" fontId="0" fillId="0" borderId="0" xfId="0" applyNumberFormat="1" applyAlignment="1">
      <alignment horizontal="center" vertical="center" wrapText="1"/>
    </xf>
    <xf numFmtId="0" fontId="46" fillId="0" borderId="0" xfId="0" applyFont="1" applyAlignment="1">
      <alignment horizontal="center" vertical="center" wrapText="1"/>
    </xf>
    <xf numFmtId="169" fontId="25" fillId="0" borderId="0" xfId="0" applyNumberFormat="1" applyFont="1" applyAlignment="1">
      <alignment horizontal="center" vertical="center" wrapText="1"/>
    </xf>
    <xf numFmtId="169" fontId="27" fillId="2" borderId="0" xfId="0" applyNumberFormat="1" applyFont="1" applyFill="1" applyAlignment="1">
      <alignment horizontal="center" vertical="center" wrapText="1"/>
    </xf>
    <xf numFmtId="169" fontId="51" fillId="0" borderId="5" xfId="1" applyNumberFormat="1" applyFont="1" applyBorder="1" applyAlignment="1">
      <alignment horizontal="center" vertical="center" wrapText="1"/>
    </xf>
    <xf numFmtId="169" fontId="51" fillId="0" borderId="3" xfId="1" applyNumberFormat="1" applyFont="1" applyBorder="1" applyAlignment="1">
      <alignment horizontal="center" vertical="center" wrapText="1"/>
    </xf>
    <xf numFmtId="169" fontId="51" fillId="0" borderId="11" xfId="1" applyNumberFormat="1" applyFont="1" applyBorder="1" applyAlignment="1">
      <alignment horizontal="center" vertical="center" wrapText="1"/>
    </xf>
    <xf numFmtId="165" fontId="50" fillId="0" borderId="0" xfId="6" applyNumberFormat="1" applyFont="1" applyAlignment="1">
      <alignment horizontal="center" vertical="center" wrapText="1"/>
    </xf>
    <xf numFmtId="169" fontId="51" fillId="0" borderId="8" xfId="1" applyNumberFormat="1" applyFont="1" applyBorder="1" applyAlignment="1">
      <alignment horizontal="center" vertical="center" wrapText="1"/>
    </xf>
    <xf numFmtId="0" fontId="50" fillId="0" borderId="0" xfId="6" applyFont="1" applyAlignment="1">
      <alignment horizontal="center" vertical="center" wrapText="1"/>
    </xf>
    <xf numFmtId="0" fontId="51" fillId="0" borderId="0" xfId="0" applyFont="1" applyAlignment="1">
      <alignment horizontal="center" vertical="center" wrapText="1"/>
    </xf>
    <xf numFmtId="169" fontId="51" fillId="0" borderId="0" xfId="1" applyNumberFormat="1" applyFont="1" applyAlignment="1">
      <alignment horizontal="center" vertical="center" wrapText="1"/>
    </xf>
    <xf numFmtId="169" fontId="53" fillId="0" borderId="0" xfId="6" applyNumberFormat="1" applyFont="1" applyAlignment="1">
      <alignment horizontal="center" vertical="center" wrapText="1"/>
    </xf>
    <xf numFmtId="1" fontId="51" fillId="0" borderId="3" xfId="1" applyNumberFormat="1" applyFont="1" applyBorder="1" applyAlignment="1">
      <alignment horizontal="center" vertical="center" wrapText="1"/>
    </xf>
    <xf numFmtId="1" fontId="51" fillId="0" borderId="8" xfId="1" applyNumberFormat="1" applyFont="1" applyBorder="1" applyAlignment="1">
      <alignment horizontal="center" vertical="center" wrapText="1"/>
    </xf>
    <xf numFmtId="0" fontId="46" fillId="0" borderId="7" xfId="0" applyFont="1" applyBorder="1" applyAlignment="1">
      <alignment horizontal="center" vertical="center" wrapText="1"/>
    </xf>
    <xf numFmtId="0" fontId="46" fillId="0" borderId="9" xfId="0" applyFont="1" applyBorder="1" applyAlignment="1">
      <alignment horizontal="center" vertical="center" wrapText="1"/>
    </xf>
    <xf numFmtId="0" fontId="46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" fontId="12" fillId="0" borderId="24" xfId="0" applyNumberFormat="1" applyFont="1" applyBorder="1" applyAlignment="1">
      <alignment horizontal="center" vertical="center" wrapText="1"/>
    </xf>
    <xf numFmtId="169" fontId="12" fillId="0" borderId="24" xfId="0" applyNumberFormat="1" applyFont="1" applyBorder="1" applyAlignment="1">
      <alignment horizontal="center" vertical="center" wrapText="1"/>
    </xf>
    <xf numFmtId="1" fontId="12" fillId="0" borderId="25" xfId="0" applyNumberFormat="1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169" fontId="12" fillId="0" borderId="25" xfId="0" applyNumberFormat="1" applyFont="1" applyBorder="1" applyAlignment="1">
      <alignment horizontal="center" vertical="center" wrapText="1"/>
    </xf>
    <xf numFmtId="1" fontId="12" fillId="0" borderId="33" xfId="0" applyNumberFormat="1" applyFont="1" applyBorder="1" applyAlignment="1">
      <alignment horizontal="center" vertical="center" wrapText="1"/>
    </xf>
    <xf numFmtId="169" fontId="12" fillId="0" borderId="33" xfId="0" applyNumberFormat="1" applyFont="1" applyBorder="1" applyAlignment="1">
      <alignment horizontal="center" vertical="center" wrapText="1"/>
    </xf>
    <xf numFmtId="169" fontId="12" fillId="0" borderId="29" xfId="0" applyNumberFormat="1" applyFont="1" applyBorder="1" applyAlignment="1">
      <alignment horizontal="center" vertical="center" wrapText="1"/>
    </xf>
    <xf numFmtId="169" fontId="12" fillId="0" borderId="40" xfId="0" applyNumberFormat="1" applyFont="1" applyBorder="1" applyAlignment="1">
      <alignment horizontal="center" vertical="center" wrapText="1"/>
    </xf>
    <xf numFmtId="0" fontId="3" fillId="2" borderId="37" xfId="0" applyFont="1" applyFill="1" applyBorder="1" applyAlignment="1">
      <alignment horizontal="center" vertical="center"/>
    </xf>
    <xf numFmtId="0" fontId="0" fillId="0" borderId="41" xfId="0" applyBorder="1"/>
    <xf numFmtId="0" fontId="6" fillId="0" borderId="42" xfId="0" applyFont="1" applyBorder="1"/>
    <xf numFmtId="169" fontId="12" fillId="0" borderId="26" xfId="0" applyNumberFormat="1" applyFont="1" applyBorder="1" applyAlignment="1">
      <alignment horizontal="center" vertical="center" wrapText="1"/>
    </xf>
    <xf numFmtId="169" fontId="12" fillId="0" borderId="14" xfId="0" applyNumberFormat="1" applyFont="1" applyBorder="1" applyAlignment="1">
      <alignment horizontal="center" vertical="center" wrapText="1"/>
    </xf>
    <xf numFmtId="169" fontId="12" fillId="0" borderId="43" xfId="0" applyNumberFormat="1" applyFont="1" applyBorder="1" applyAlignment="1">
      <alignment horizontal="center" vertical="center" wrapText="1"/>
    </xf>
    <xf numFmtId="169" fontId="12" fillId="0" borderId="44" xfId="0" applyNumberFormat="1" applyFont="1" applyBorder="1" applyAlignment="1">
      <alignment horizontal="center" vertical="center" wrapText="1"/>
    </xf>
    <xf numFmtId="169" fontId="12" fillId="0" borderId="45" xfId="0" applyNumberFormat="1" applyFont="1" applyBorder="1" applyAlignment="1">
      <alignment horizontal="center" vertical="center" wrapText="1"/>
    </xf>
    <xf numFmtId="169" fontId="12" fillId="0" borderId="46" xfId="0" applyNumberFormat="1" applyFont="1" applyBorder="1" applyAlignment="1">
      <alignment horizontal="center" vertical="center" wrapText="1"/>
    </xf>
    <xf numFmtId="169" fontId="12" fillId="0" borderId="35" xfId="0" applyNumberFormat="1" applyFont="1" applyBorder="1" applyAlignment="1">
      <alignment horizontal="center" vertical="center" wrapText="1"/>
    </xf>
    <xf numFmtId="169" fontId="12" fillId="0" borderId="34" xfId="0" applyNumberFormat="1" applyFont="1" applyBorder="1" applyAlignment="1">
      <alignment horizontal="center" vertical="center" wrapText="1"/>
    </xf>
    <xf numFmtId="1" fontId="12" fillId="0" borderId="47" xfId="0" applyNumberFormat="1" applyFont="1" applyBorder="1" applyAlignment="1">
      <alignment horizontal="center" vertical="center" wrapText="1"/>
    </xf>
    <xf numFmtId="169" fontId="12" fillId="0" borderId="47" xfId="0" applyNumberFormat="1" applyFont="1" applyBorder="1" applyAlignment="1">
      <alignment horizontal="center" vertical="center" wrapText="1"/>
    </xf>
    <xf numFmtId="0" fontId="12" fillId="0" borderId="34" xfId="0" applyFont="1" applyBorder="1" applyAlignment="1">
      <alignment horizontal="center" vertical="center" wrapText="1"/>
    </xf>
    <xf numFmtId="0" fontId="12" fillId="0" borderId="36" xfId="0" applyFont="1" applyBorder="1" applyAlignment="1">
      <alignment horizontal="center" vertical="center" wrapText="1"/>
    </xf>
    <xf numFmtId="1" fontId="12" fillId="0" borderId="29" xfId="0" applyNumberFormat="1" applyFont="1" applyBorder="1" applyAlignment="1">
      <alignment horizontal="center" vertical="center" wrapText="1"/>
    </xf>
    <xf numFmtId="0" fontId="56" fillId="0" borderId="0" xfId="0" applyFont="1" applyAlignment="1">
      <alignment vertical="center" wrapText="1"/>
    </xf>
    <xf numFmtId="0" fontId="0" fillId="0" borderId="0" xfId="0" applyAlignment="1"/>
    <xf numFmtId="0" fontId="0" fillId="0" borderId="0" xfId="0"/>
    <xf numFmtId="0" fontId="56" fillId="0" borderId="0" xfId="0" applyFont="1"/>
    <xf numFmtId="0" fontId="58" fillId="0" borderId="0" xfId="0" applyFont="1" applyAlignment="1">
      <alignment vertical="center"/>
    </xf>
    <xf numFmtId="0" fontId="59" fillId="0" borderId="0" xfId="6" applyFont="1" applyAlignment="1">
      <alignment vertical="center" wrapText="1"/>
    </xf>
    <xf numFmtId="0" fontId="59" fillId="0" borderId="0" xfId="6" applyFont="1" applyAlignment="1">
      <alignment vertical="top" wrapText="1"/>
    </xf>
    <xf numFmtId="0" fontId="59" fillId="0" borderId="0" xfId="6" applyFont="1" applyAlignment="1">
      <alignment vertical="center"/>
    </xf>
    <xf numFmtId="0" fontId="56" fillId="0" borderId="0" xfId="0" applyFont="1" applyAlignment="1"/>
    <xf numFmtId="0" fontId="18" fillId="0" borderId="0" xfId="0" applyFont="1" applyAlignment="1">
      <alignment vertical="center"/>
    </xf>
    <xf numFmtId="0" fontId="57" fillId="0" borderId="0" xfId="0" applyFont="1" applyAlignment="1">
      <alignment vertical="center" wrapText="1"/>
    </xf>
    <xf numFmtId="0" fontId="56" fillId="0" borderId="0" xfId="0" applyFont="1" applyAlignment="1">
      <alignment vertical="top" wrapText="1"/>
    </xf>
    <xf numFmtId="0" fontId="0" fillId="0" borderId="0" xfId="0" applyAlignment="1">
      <alignment vertical="center" wrapText="1"/>
    </xf>
    <xf numFmtId="0" fontId="46" fillId="0" borderId="18" xfId="0" applyFont="1" applyBorder="1" applyAlignment="1">
      <alignment horizontal="center" vertical="center" wrapText="1"/>
    </xf>
    <xf numFmtId="169" fontId="51" fillId="0" borderId="5" xfId="1" applyNumberFormat="1" applyFont="1" applyBorder="1" applyAlignment="1">
      <alignment horizontal="center" vertical="center" wrapText="1"/>
    </xf>
    <xf numFmtId="169" fontId="51" fillId="0" borderId="6" xfId="1" applyNumberFormat="1" applyFont="1" applyBorder="1" applyAlignment="1">
      <alignment horizontal="center" vertical="center" wrapText="1"/>
    </xf>
    <xf numFmtId="169" fontId="51" fillId="0" borderId="17" xfId="1" applyNumberFormat="1" applyFont="1" applyBorder="1" applyAlignment="1">
      <alignment horizontal="center" vertical="center" wrapText="1"/>
    </xf>
    <xf numFmtId="169" fontId="51" fillId="0" borderId="11" xfId="1" applyNumberFormat="1" applyFont="1" applyBorder="1" applyAlignment="1">
      <alignment horizontal="center" vertical="center" wrapText="1"/>
    </xf>
    <xf numFmtId="169" fontId="2" fillId="0" borderId="0" xfId="6" applyNumberFormat="1" applyAlignment="1">
      <alignment horizontal="center" vertical="top"/>
    </xf>
    <xf numFmtId="169" fontId="2" fillId="0" borderId="0" xfId="6" applyNumberFormat="1" applyAlignment="1">
      <alignment horizontal="center" vertical="top" wrapText="1"/>
    </xf>
    <xf numFmtId="0" fontId="56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67" fontId="11" fillId="0" borderId="0" xfId="0" applyNumberFormat="1" applyFont="1" applyAlignment="1">
      <alignment horizontal="center" vertical="top"/>
    </xf>
    <xf numFmtId="0" fontId="17" fillId="0" borderId="0" xfId="0" applyFont="1" applyFill="1" applyBorder="1" applyAlignment="1">
      <alignment horizontal="center" vertical="center"/>
    </xf>
    <xf numFmtId="170" fontId="17" fillId="0" borderId="0" xfId="0" applyNumberFormat="1" applyFont="1" applyFill="1" applyBorder="1" applyAlignment="1">
      <alignment horizontal="right" vertical="center"/>
    </xf>
    <xf numFmtId="0" fontId="22" fillId="0" borderId="0" xfId="0" applyFont="1" applyFill="1" applyBorder="1" applyAlignment="1">
      <alignment horizontal="center" vertical="center"/>
    </xf>
    <xf numFmtId="0" fontId="49" fillId="0" borderId="4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11" fillId="0" borderId="0" xfId="6" applyFont="1" applyAlignment="1">
      <alignment horizontal="left" vertical="center" wrapText="1"/>
    </xf>
    <xf numFmtId="0" fontId="11" fillId="0" borderId="0" xfId="6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166" fontId="17" fillId="0" borderId="0" xfId="0" applyNumberFormat="1" applyFont="1" applyFill="1" applyBorder="1" applyAlignment="1">
      <alignment horizontal="left" vertical="center" wrapText="1"/>
    </xf>
    <xf numFmtId="0" fontId="17" fillId="0" borderId="0" xfId="0" applyFont="1" applyFill="1" applyBorder="1" applyAlignment="1">
      <alignment horizontal="left" vertical="center" wrapText="1"/>
    </xf>
    <xf numFmtId="0" fontId="23" fillId="0" borderId="0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166" fontId="11" fillId="0" borderId="0" xfId="6" applyNumberFormat="1" applyFont="1" applyAlignment="1">
      <alignment horizontal="left" vertical="center" wrapText="1"/>
    </xf>
    <xf numFmtId="0" fontId="12" fillId="0" borderId="0" xfId="0" applyFont="1" applyBorder="1" applyAlignment="1">
      <alignment horizontal="left" vertical="top" wrapText="1"/>
    </xf>
    <xf numFmtId="167" fontId="11" fillId="0" borderId="0" xfId="0" applyNumberFormat="1" applyFont="1" applyAlignment="1">
      <alignment horizontal="left" vertical="center"/>
    </xf>
    <xf numFmtId="0" fontId="20" fillId="0" borderId="0" xfId="4" applyFont="1" applyFill="1" applyBorder="1" applyAlignment="1">
      <alignment horizontal="right" vertical="center"/>
    </xf>
    <xf numFmtId="0" fontId="35" fillId="0" borderId="0" xfId="0" applyFont="1" applyFill="1" applyBorder="1" applyAlignment="1">
      <alignment horizontal="center" vertical="center"/>
    </xf>
    <xf numFmtId="0" fontId="44" fillId="0" borderId="26" xfId="0" applyFont="1" applyBorder="1" applyAlignment="1">
      <alignment horizontal="left" vertical="top" wrapText="1"/>
    </xf>
    <xf numFmtId="0" fontId="44" fillId="0" borderId="27" xfId="0" applyFont="1" applyBorder="1" applyAlignment="1">
      <alignment horizontal="left" vertical="top" wrapText="1"/>
    </xf>
    <xf numFmtId="0" fontId="44" fillId="0" borderId="28" xfId="0" applyFont="1" applyBorder="1" applyAlignment="1">
      <alignment horizontal="left" vertical="top" wrapText="1"/>
    </xf>
    <xf numFmtId="0" fontId="12" fillId="0" borderId="14" xfId="0" applyFont="1" applyBorder="1" applyAlignment="1">
      <alignment horizontal="left" vertical="top" wrapText="1"/>
    </xf>
    <xf numFmtId="0" fontId="12" fillId="0" borderId="15" xfId="0" applyFont="1" applyBorder="1" applyAlignment="1">
      <alignment horizontal="left" vertical="top" wrapText="1"/>
    </xf>
    <xf numFmtId="0" fontId="12" fillId="0" borderId="16" xfId="0" applyFont="1" applyBorder="1" applyAlignment="1">
      <alignment horizontal="left" vertical="top" wrapText="1"/>
    </xf>
    <xf numFmtId="0" fontId="12" fillId="0" borderId="20" xfId="0" applyFont="1" applyBorder="1" applyAlignment="1">
      <alignment horizontal="left" vertical="top" wrapText="1"/>
    </xf>
    <xf numFmtId="0" fontId="3" fillId="2" borderId="37" xfId="0" applyFont="1" applyFill="1" applyBorder="1" applyAlignment="1">
      <alignment horizontal="center" vertical="center"/>
    </xf>
    <xf numFmtId="0" fontId="40" fillId="0" borderId="38" xfId="0" applyFont="1" applyBorder="1" applyAlignment="1">
      <alignment horizontal="left" vertical="top" wrapText="1"/>
    </xf>
    <xf numFmtId="0" fontId="40" fillId="0" borderId="0" xfId="0" applyFont="1" applyBorder="1" applyAlignment="1">
      <alignment horizontal="left" vertical="top" wrapText="1"/>
    </xf>
    <xf numFmtId="0" fontId="40" fillId="0" borderId="39" xfId="0" applyFont="1" applyBorder="1" applyAlignment="1">
      <alignment horizontal="left" vertical="top" wrapText="1"/>
    </xf>
    <xf numFmtId="0" fontId="40" fillId="0" borderId="33" xfId="0" applyFont="1" applyBorder="1" applyAlignment="1">
      <alignment horizontal="left" vertical="top" wrapText="1"/>
    </xf>
    <xf numFmtId="0" fontId="40" fillId="0" borderId="48" xfId="0" applyFont="1" applyBorder="1" applyAlignment="1">
      <alignment horizontal="left" vertical="top" wrapText="1"/>
    </xf>
    <xf numFmtId="0" fontId="40" fillId="0" borderId="36" xfId="0" applyFont="1" applyBorder="1" applyAlignment="1">
      <alignment horizontal="left" vertical="top" wrapText="1"/>
    </xf>
    <xf numFmtId="0" fontId="44" fillId="0" borderId="30" xfId="0" applyFont="1" applyBorder="1" applyAlignment="1">
      <alignment horizontal="left" vertical="top" wrapText="1"/>
    </xf>
    <xf numFmtId="0" fontId="44" fillId="0" borderId="31" xfId="0" applyFont="1" applyBorder="1" applyAlignment="1">
      <alignment horizontal="left" vertical="top" wrapText="1"/>
    </xf>
    <xf numFmtId="0" fontId="44" fillId="0" borderId="32" xfId="0" applyFont="1" applyBorder="1" applyAlignment="1">
      <alignment horizontal="left" vertical="top" wrapText="1"/>
    </xf>
    <xf numFmtId="0" fontId="29" fillId="0" borderId="0" xfId="6" applyFont="1" applyAlignment="1">
      <alignment horizontal="left" vertical="center"/>
    </xf>
    <xf numFmtId="166" fontId="35" fillId="0" borderId="0" xfId="0" applyNumberFormat="1" applyFont="1" applyFill="1" applyBorder="1" applyAlignment="1">
      <alignment horizontal="left" vertical="center" wrapText="1"/>
    </xf>
    <xf numFmtId="0" fontId="41" fillId="0" borderId="0" xfId="0" applyFont="1" applyFill="1" applyBorder="1" applyAlignment="1">
      <alignment horizontal="center" vertical="center" wrapText="1"/>
    </xf>
    <xf numFmtId="0" fontId="42" fillId="0" borderId="0" xfId="0" applyFont="1" applyFill="1" applyBorder="1" applyAlignment="1">
      <alignment horizontal="center" vertical="center"/>
    </xf>
    <xf numFmtId="0" fontId="32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32" fillId="0" borderId="0" xfId="0" applyFont="1" applyFill="1" applyBorder="1" applyAlignment="1">
      <alignment horizontal="left" vertical="center"/>
    </xf>
    <xf numFmtId="14" fontId="36" fillId="0" borderId="0" xfId="0" applyNumberFormat="1" applyFont="1" applyFill="1" applyBorder="1" applyAlignment="1">
      <alignment horizontal="center" vertical="center"/>
    </xf>
    <xf numFmtId="166" fontId="11" fillId="0" borderId="0" xfId="0" applyNumberFormat="1" applyFont="1" applyAlignment="1">
      <alignment horizontal="left" vertical="center"/>
    </xf>
    <xf numFmtId="0" fontId="26" fillId="0" borderId="0" xfId="0" applyFont="1" applyAlignment="1">
      <alignment horizontal="center" vertical="center" wrapText="1"/>
    </xf>
    <xf numFmtId="0" fontId="17" fillId="0" borderId="0" xfId="4" applyFont="1" applyFill="1" applyBorder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7" fillId="0" borderId="0" xfId="4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57" fillId="0" borderId="0" xfId="0" applyFont="1" applyAlignment="1">
      <alignment horizontal="center" vertical="center" wrapText="1"/>
    </xf>
    <xf numFmtId="0" fontId="60" fillId="0" borderId="0" xfId="0" applyFont="1" applyAlignment="1">
      <alignment horizontal="left" vertical="center" wrapText="1"/>
    </xf>
    <xf numFmtId="0" fontId="2" fillId="0" borderId="7" xfId="6" applyFont="1" applyBorder="1" applyAlignment="1">
      <alignment horizontal="center" vertical="center" wrapText="1"/>
    </xf>
    <xf numFmtId="0" fontId="2" fillId="0" borderId="9" xfId="6" applyFont="1" applyBorder="1" applyAlignment="1">
      <alignment horizontal="center" vertical="center" wrapText="1"/>
    </xf>
    <xf numFmtId="0" fontId="2" fillId="0" borderId="3" xfId="6" applyFont="1" applyBorder="1" applyAlignment="1">
      <alignment horizontal="center" vertical="center" wrapText="1"/>
    </xf>
    <xf numFmtId="0" fontId="2" fillId="0" borderId="5" xfId="6" applyFont="1" applyBorder="1" applyAlignment="1">
      <alignment horizontal="center" vertical="center" wrapText="1"/>
    </xf>
    <xf numFmtId="169" fontId="55" fillId="0" borderId="21" xfId="0" applyNumberFormat="1" applyFont="1" applyBorder="1" applyAlignment="1">
      <alignment horizontal="center" vertical="center" wrapText="1"/>
    </xf>
    <xf numFmtId="169" fontId="55" fillId="0" borderId="22" xfId="0" applyNumberFormat="1" applyFont="1" applyBorder="1" applyAlignment="1">
      <alignment horizontal="center" vertical="center" wrapText="1"/>
    </xf>
    <xf numFmtId="169" fontId="55" fillId="0" borderId="23" xfId="0" applyNumberFormat="1" applyFont="1" applyBorder="1" applyAlignment="1">
      <alignment horizontal="center" vertical="center" wrapText="1"/>
    </xf>
    <xf numFmtId="169" fontId="55" fillId="0" borderId="12" xfId="0" applyNumberFormat="1" applyFont="1" applyBorder="1" applyAlignment="1">
      <alignment horizontal="center" vertical="center" wrapText="1"/>
    </xf>
    <xf numFmtId="169" fontId="55" fillId="0" borderId="17" xfId="0" applyNumberFormat="1" applyFont="1" applyBorder="1" applyAlignment="1">
      <alignment horizontal="center" vertical="center" wrapText="1"/>
    </xf>
    <xf numFmtId="169" fontId="55" fillId="0" borderId="11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25" fillId="0" borderId="0" xfId="0" applyFont="1" applyBorder="1" applyAlignment="1">
      <alignment horizontal="center" vertical="center" wrapText="1"/>
    </xf>
    <xf numFmtId="0" fontId="46" fillId="0" borderId="7" xfId="0" applyFont="1" applyBorder="1" applyAlignment="1">
      <alignment horizontal="center" vertical="center" wrapText="1"/>
    </xf>
    <xf numFmtId="0" fontId="2" fillId="0" borderId="8" xfId="6" applyFont="1" applyBorder="1" applyAlignment="1">
      <alignment horizontal="center" vertical="center" wrapText="1"/>
    </xf>
    <xf numFmtId="0" fontId="47" fillId="4" borderId="0" xfId="0" applyFont="1" applyFill="1" applyAlignment="1">
      <alignment horizontal="center"/>
    </xf>
    <xf numFmtId="49" fontId="50" fillId="0" borderId="0" xfId="6" applyNumberFormat="1" applyFont="1" applyAlignment="1">
      <alignment horizontal="center" vertical="center" wrapText="1"/>
    </xf>
    <xf numFmtId="169" fontId="50" fillId="0" borderId="0" xfId="6" applyNumberFormat="1" applyFont="1" applyAlignment="1">
      <alignment horizontal="center" vertical="center" wrapText="1"/>
    </xf>
    <xf numFmtId="165" fontId="52" fillId="0" borderId="0" xfId="0" applyNumberFormat="1" applyFont="1" applyAlignment="1">
      <alignment horizontal="center" vertical="center" wrapText="1"/>
    </xf>
    <xf numFmtId="169" fontId="2" fillId="0" borderId="3" xfId="6" applyNumberFormat="1" applyFont="1" applyBorder="1" applyAlignment="1">
      <alignment horizontal="center" vertical="center" wrapText="1"/>
    </xf>
    <xf numFmtId="0" fontId="46" fillId="0" borderId="18" xfId="0" applyFont="1" applyBorder="1" applyAlignment="1">
      <alignment horizontal="center" vertical="center" wrapText="1"/>
    </xf>
    <xf numFmtId="169" fontId="46" fillId="0" borderId="18" xfId="0" applyNumberFormat="1" applyFont="1" applyBorder="1" applyAlignment="1">
      <alignment horizontal="center" vertical="center" wrapText="1"/>
    </xf>
    <xf numFmtId="0" fontId="46" fillId="0" borderId="0" xfId="0" applyFont="1" applyAlignment="1">
      <alignment horizontal="center" vertical="center" wrapText="1"/>
    </xf>
    <xf numFmtId="0" fontId="54" fillId="0" borderId="8" xfId="6" applyFont="1" applyBorder="1" applyAlignment="1">
      <alignment horizontal="left" vertical="center" wrapText="1"/>
    </xf>
    <xf numFmtId="0" fontId="54" fillId="0" borderId="3" xfId="6" applyFont="1" applyBorder="1" applyAlignment="1">
      <alignment horizontal="left" vertical="center" wrapText="1"/>
    </xf>
    <xf numFmtId="0" fontId="46" fillId="0" borderId="10" xfId="0" applyFont="1" applyBorder="1" applyAlignment="1">
      <alignment horizontal="center" vertical="center" wrapText="1"/>
    </xf>
    <xf numFmtId="0" fontId="2" fillId="0" borderId="6" xfId="6" applyFont="1" applyBorder="1" applyAlignment="1">
      <alignment horizontal="center" vertical="center" wrapText="1"/>
    </xf>
    <xf numFmtId="0" fontId="46" fillId="0" borderId="0" xfId="0" applyFont="1" applyBorder="1" applyAlignment="1">
      <alignment horizontal="center" vertical="center" wrapText="1"/>
    </xf>
    <xf numFmtId="0" fontId="46" fillId="0" borderId="17" xfId="0" applyFont="1" applyBorder="1" applyAlignment="1">
      <alignment horizontal="center" vertical="center" wrapText="1"/>
    </xf>
    <xf numFmtId="169" fontId="6" fillId="0" borderId="8" xfId="1" applyNumberFormat="1" applyFont="1" applyBorder="1" applyAlignment="1">
      <alignment horizontal="center" vertical="center" wrapText="1"/>
    </xf>
    <xf numFmtId="0" fontId="0" fillId="0" borderId="49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51" xfId="0" applyBorder="1" applyAlignment="1">
      <alignment horizontal="center"/>
    </xf>
  </cellXfs>
  <cellStyles count="7">
    <cellStyle name="Hipervínculo" xfId="6" builtinId="8"/>
    <cellStyle name="Millares" xfId="2" builtinId="3"/>
    <cellStyle name="Moneda" xfId="1" builtinId="4"/>
    <cellStyle name="Normal" xfId="0" builtinId="0"/>
    <cellStyle name="Normal 3" xfId="5" xr:uid="{B46FB4F0-A6D6-434F-86AF-F1616E49031A}"/>
    <cellStyle name="Salida" xfId="3" builtinId="21"/>
    <cellStyle name="Texto explicativo 2" xfId="4" xr:uid="{14B92C96-3D63-4A73-B10B-FBC529DE3899}"/>
  </cellStyles>
  <dxfs count="0"/>
  <tableStyles count="0" defaultTableStyle="TableStyleMedium2" defaultPivotStyle="PivotStyleLight16"/>
  <colors>
    <mruColors>
      <color rgb="FFFFB8E8"/>
      <color rgb="FF186AB4"/>
      <color rgb="FFA4E2FE"/>
      <color rgb="FFC9EAFF"/>
      <color rgb="FFCCECFF"/>
      <color rgb="FF4D4D4D"/>
      <color rgb="FF77777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133350</xdr:rowOff>
    </xdr:from>
    <xdr:to>
      <xdr:col>8</xdr:col>
      <xdr:colOff>85725</xdr:colOff>
      <xdr:row>0</xdr:row>
      <xdr:rowOff>1194486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E776B1F-7550-4789-A4BD-B76E59CFFD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133350"/>
          <a:ext cx="7610475" cy="1066800"/>
        </a:xfrm>
        <a:prstGeom prst="rect">
          <a:avLst/>
        </a:prstGeom>
      </xdr:spPr>
    </xdr:pic>
    <xdr:clientData/>
  </xdr:twoCellAnchor>
  <xdr:twoCellAnchor editAs="oneCell">
    <xdr:from>
      <xdr:col>0</xdr:col>
      <xdr:colOff>428625</xdr:colOff>
      <xdr:row>6</xdr:row>
      <xdr:rowOff>28575</xdr:rowOff>
    </xdr:from>
    <xdr:to>
      <xdr:col>8</xdr:col>
      <xdr:colOff>847725</xdr:colOff>
      <xdr:row>7</xdr:row>
      <xdr:rowOff>9525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55C31F1-F31E-436D-BD67-6EFCD6AABE32}"/>
            </a:ext>
            <a:ext uri="{147F2762-F138-4A5C-976F-8EAC2B608ADB}">
              <a16:predDERef xmlns:a16="http://schemas.microsoft.com/office/drawing/2014/main" pred="{7E776B1F-7550-4789-A4BD-B76E59CFFD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625" y="2914650"/>
          <a:ext cx="8915400" cy="200025"/>
        </a:xfrm>
        <a:prstGeom prst="rect">
          <a:avLst/>
        </a:prstGeom>
      </xdr:spPr>
    </xdr:pic>
    <xdr:clientData/>
  </xdr:twoCellAnchor>
  <xdr:twoCellAnchor editAs="oneCell">
    <xdr:from>
      <xdr:col>0</xdr:col>
      <xdr:colOff>428625</xdr:colOff>
      <xdr:row>12</xdr:row>
      <xdr:rowOff>0</xdr:rowOff>
    </xdr:from>
    <xdr:to>
      <xdr:col>8</xdr:col>
      <xdr:colOff>828675</xdr:colOff>
      <xdr:row>12</xdr:row>
      <xdr:rowOff>200025</xdr:rowOff>
    </xdr:to>
    <xdr:pic>
      <xdr:nvPicPr>
        <xdr:cNvPr id="4" name="Imagen 5">
          <a:extLst>
            <a:ext uri="{FF2B5EF4-FFF2-40B4-BE49-F238E27FC236}">
              <a16:creationId xmlns:a16="http://schemas.microsoft.com/office/drawing/2014/main" id="{91584EA0-7320-4C84-B91F-A38B4308F417}"/>
            </a:ext>
            <a:ext uri="{147F2762-F138-4A5C-976F-8EAC2B608ADB}">
              <a16:predDERef xmlns:a16="http://schemas.microsoft.com/office/drawing/2014/main" pred="{E55C31F1-F31E-436D-BD67-6EFCD6AABE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625" y="4943475"/>
          <a:ext cx="8896350" cy="200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mportadoracruzec@gmail.com" TargetMode="External"/><Relationship Id="rId2" Type="http://schemas.openxmlformats.org/officeDocument/2006/relationships/hyperlink" Target="https://www.impocruz.com/" TargetMode="External"/><Relationship Id="rId1" Type="http://schemas.openxmlformats.org/officeDocument/2006/relationships/hyperlink" Target="mailto:importadoracruzec@gmail.com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0F41E-C8FF-4F61-9221-CC0BAF83352D}">
  <sheetPr>
    <pageSetUpPr fitToPage="1"/>
  </sheetPr>
  <dimension ref="A1:AE100"/>
  <sheetViews>
    <sheetView showGridLines="0" topLeftCell="A25" zoomScale="103" zoomScaleNormal="88" zoomScaleSheetLayoutView="100" workbookViewId="0">
      <selection activeCell="A29" sqref="A29:E29"/>
    </sheetView>
  </sheetViews>
  <sheetFormatPr baseColWidth="10" defaultColWidth="11.44140625" defaultRowHeight="15.6"/>
  <cols>
    <col min="1" max="1" width="16.109375" customWidth="1"/>
    <col min="2" max="2" width="14" customWidth="1"/>
    <col min="3" max="3" width="18.5546875" customWidth="1"/>
    <col min="4" max="4" width="22.6640625" customWidth="1"/>
    <col min="5" max="5" width="16.33203125" style="17" customWidth="1"/>
    <col min="6" max="6" width="11.44140625" customWidth="1"/>
    <col min="7" max="7" width="12.5546875" customWidth="1"/>
    <col min="8" max="8" width="15.6640625" customWidth="1"/>
    <col min="9" max="9" width="21.44140625" customWidth="1"/>
    <col min="10" max="10" width="10.33203125" customWidth="1"/>
    <col min="11" max="11" width="15.44140625" customWidth="1"/>
    <col min="12" max="12" width="12.6640625" style="11" customWidth="1"/>
    <col min="13" max="13" width="11.6640625" style="11" customWidth="1"/>
    <col min="14" max="14" width="18" style="11" customWidth="1"/>
    <col min="15" max="15" width="8.44140625" style="11" customWidth="1"/>
    <col min="16" max="16" width="10.33203125" style="11" customWidth="1"/>
    <col min="17" max="17" width="14.6640625" style="11" customWidth="1"/>
    <col min="18" max="18" width="17.109375" style="11" customWidth="1"/>
    <col min="19" max="19" width="16.5546875" style="11" customWidth="1"/>
    <col min="20" max="20" width="21.109375" style="12" customWidth="1"/>
    <col min="21" max="21" width="14.109375" customWidth="1"/>
    <col min="22" max="22" width="13.88671875" customWidth="1"/>
    <col min="23" max="23" width="25.109375" customWidth="1"/>
    <col min="24" max="24" width="8.33203125" customWidth="1"/>
    <col min="25" max="25" width="10.6640625" customWidth="1"/>
    <col min="26" max="26" width="12.5546875" customWidth="1"/>
    <col min="27" max="27" width="17.33203125" customWidth="1"/>
  </cols>
  <sheetData>
    <row r="1" spans="1:31" ht="94.5" customHeight="1">
      <c r="L1" s="211"/>
      <c r="M1" s="212"/>
      <c r="N1" s="212"/>
      <c r="O1" s="212"/>
      <c r="P1" s="212"/>
      <c r="Q1" s="213"/>
      <c r="R1" s="213"/>
      <c r="U1" s="214"/>
      <c r="V1" s="214"/>
      <c r="W1" s="214"/>
      <c r="X1" s="214"/>
      <c r="Y1" s="214"/>
      <c r="Z1" s="214"/>
      <c r="AA1" s="214"/>
    </row>
    <row r="2" spans="1:31" ht="18" customHeight="1">
      <c r="A2" s="215" t="s">
        <v>0</v>
      </c>
      <c r="B2" s="215"/>
      <c r="C2" s="215"/>
      <c r="D2" s="215"/>
      <c r="E2" s="215"/>
      <c r="F2" s="215"/>
      <c r="G2" s="215"/>
      <c r="H2" s="215"/>
      <c r="I2" s="215"/>
      <c r="L2" s="216"/>
      <c r="M2" s="216"/>
      <c r="N2" s="33"/>
      <c r="O2" s="217"/>
      <c r="P2" s="217"/>
      <c r="Q2" s="213"/>
      <c r="R2" s="213"/>
      <c r="U2" s="31"/>
      <c r="V2" s="31"/>
      <c r="W2" s="31"/>
      <c r="X2" s="69"/>
      <c r="Y2" s="32"/>
      <c r="Z2" s="31"/>
      <c r="AA2" s="31"/>
    </row>
    <row r="3" spans="1:31" ht="48.75" customHeight="1">
      <c r="A3" s="6" t="s">
        <v>2</v>
      </c>
      <c r="B3" s="218">
        <v>993372361001</v>
      </c>
      <c r="C3" s="218"/>
      <c r="F3" s="3"/>
      <c r="G3" s="219" t="s">
        <v>51</v>
      </c>
      <c r="H3" s="219"/>
      <c r="I3" s="219"/>
      <c r="L3" s="34"/>
      <c r="M3" s="35"/>
      <c r="N3" s="36"/>
      <c r="O3" s="36"/>
      <c r="P3" s="36"/>
      <c r="Q3" s="213"/>
      <c r="R3" s="213"/>
      <c r="U3" s="220"/>
      <c r="V3" s="220"/>
      <c r="W3" s="220"/>
      <c r="X3" s="220"/>
      <c r="Y3" s="220"/>
      <c r="Z3" s="70"/>
      <c r="AA3" s="71"/>
    </row>
    <row r="4" spans="1:31" ht="18" customHeight="1">
      <c r="A4" s="6" t="s">
        <v>3</v>
      </c>
      <c r="B4" s="221" t="s">
        <v>4</v>
      </c>
      <c r="C4" s="221"/>
      <c r="D4" s="221"/>
      <c r="E4" s="221"/>
      <c r="F4" s="1"/>
      <c r="G4" s="219"/>
      <c r="H4" s="219"/>
      <c r="I4" s="219"/>
      <c r="L4" s="37"/>
      <c r="M4" s="38"/>
      <c r="N4" s="36"/>
      <c r="O4" s="36"/>
      <c r="P4" s="36"/>
      <c r="Q4" s="39"/>
      <c r="R4" s="39"/>
      <c r="U4" s="222"/>
      <c r="V4" s="222"/>
      <c r="W4" s="222"/>
      <c r="X4" s="72"/>
      <c r="Y4" s="190"/>
      <c r="Z4" s="190"/>
      <c r="AA4" s="73"/>
    </row>
    <row r="5" spans="1:31" ht="28.5" customHeight="1">
      <c r="A5" s="6" t="s">
        <v>5</v>
      </c>
      <c r="B5" s="209" t="s">
        <v>6</v>
      </c>
      <c r="C5" s="209"/>
      <c r="D5" s="209"/>
      <c r="F5" s="27"/>
      <c r="G5" s="5"/>
      <c r="H5" s="5"/>
      <c r="I5" s="3"/>
      <c r="L5" s="34"/>
      <c r="M5" s="210"/>
      <c r="N5" s="210"/>
      <c r="O5" s="210"/>
      <c r="P5" s="210"/>
      <c r="Q5" s="210"/>
      <c r="R5" s="210"/>
      <c r="U5" s="74"/>
      <c r="V5" s="74"/>
      <c r="W5" s="75"/>
      <c r="X5" s="76"/>
      <c r="Y5" s="190"/>
      <c r="Z5" s="190"/>
      <c r="AA5" s="73"/>
    </row>
    <row r="6" spans="1:31" ht="19.5" customHeight="1">
      <c r="A6" s="6" t="s">
        <v>7</v>
      </c>
      <c r="B6" s="21" t="s">
        <v>8</v>
      </c>
      <c r="C6" s="21"/>
      <c r="D6" s="21"/>
      <c r="E6" s="6" t="s">
        <v>9</v>
      </c>
      <c r="F6" s="189">
        <v>986397636</v>
      </c>
      <c r="G6" s="189"/>
      <c r="I6" s="3"/>
      <c r="L6" s="34"/>
      <c r="M6" s="40"/>
      <c r="N6" s="41"/>
      <c r="O6" s="41"/>
      <c r="P6" s="41"/>
      <c r="Q6" s="41"/>
      <c r="R6" s="41"/>
      <c r="U6" s="77"/>
      <c r="V6" s="74"/>
      <c r="W6" s="75"/>
      <c r="X6" s="73"/>
      <c r="Y6" s="190"/>
      <c r="Z6" s="190"/>
      <c r="AA6" s="73"/>
    </row>
    <row r="7" spans="1:31" ht="17.25" customHeight="1">
      <c r="A7" s="3"/>
      <c r="B7" s="3"/>
      <c r="C7" s="3"/>
      <c r="D7" s="3"/>
      <c r="E7" s="18"/>
      <c r="F7" s="3"/>
      <c r="G7" s="3"/>
      <c r="H7" s="3"/>
      <c r="I7" s="3"/>
      <c r="L7" s="37"/>
      <c r="M7" s="40"/>
      <c r="N7" s="191"/>
      <c r="O7" s="191"/>
      <c r="P7" s="191"/>
      <c r="Q7" s="191"/>
      <c r="R7" s="191"/>
      <c r="U7" s="78"/>
      <c r="V7" s="78"/>
      <c r="W7" s="78"/>
      <c r="X7" s="76"/>
      <c r="Y7" s="79"/>
      <c r="Z7" s="78"/>
      <c r="AA7" s="78"/>
    </row>
    <row r="8" spans="1:31" ht="36" customHeight="1">
      <c r="A8" s="6" t="s">
        <v>10</v>
      </c>
      <c r="B8" s="180"/>
      <c r="C8" s="180"/>
      <c r="D8" s="180"/>
      <c r="E8" s="180"/>
      <c r="F8" s="180"/>
      <c r="G8" s="180"/>
      <c r="H8" s="26" t="s">
        <v>1</v>
      </c>
      <c r="I8" s="15">
        <v>45842</v>
      </c>
      <c r="L8" s="42"/>
      <c r="M8" s="43"/>
      <c r="N8" s="39"/>
      <c r="O8" s="39"/>
      <c r="P8" s="39"/>
      <c r="Q8" s="39"/>
      <c r="R8" s="39"/>
      <c r="U8" s="80"/>
      <c r="V8" s="183"/>
      <c r="W8" s="184"/>
      <c r="X8" s="185"/>
      <c r="Y8" s="185"/>
      <c r="Z8" s="185"/>
      <c r="AA8" s="185"/>
    </row>
    <row r="9" spans="1:31" ht="24.75" customHeight="1">
      <c r="A9" s="6" t="s">
        <v>2</v>
      </c>
      <c r="B9" s="187"/>
      <c r="C9" s="187"/>
      <c r="D9" s="187"/>
      <c r="E9" s="187"/>
      <c r="F9" s="187"/>
      <c r="G9" s="182" t="s">
        <v>11</v>
      </c>
      <c r="H9" s="182"/>
      <c r="I9" s="7"/>
      <c r="L9" s="42"/>
      <c r="M9" s="43"/>
      <c r="N9" s="36"/>
      <c r="O9" s="36"/>
      <c r="P9" s="36"/>
      <c r="Q9" s="36"/>
      <c r="R9" s="36"/>
      <c r="U9" s="81"/>
      <c r="V9" s="183"/>
      <c r="W9" s="184"/>
      <c r="X9" s="185"/>
      <c r="Y9" s="185"/>
      <c r="Z9" s="185"/>
      <c r="AA9" s="185"/>
    </row>
    <row r="10" spans="1:31" ht="34.5" customHeight="1">
      <c r="A10" s="6" t="s">
        <v>3</v>
      </c>
      <c r="B10" s="180" t="s">
        <v>13</v>
      </c>
      <c r="C10" s="180"/>
      <c r="D10" s="180"/>
      <c r="E10" s="180"/>
      <c r="F10" s="180"/>
      <c r="G10" s="182" t="s">
        <v>12</v>
      </c>
      <c r="H10" s="182"/>
      <c r="I10" s="7"/>
      <c r="L10" s="44"/>
      <c r="M10" s="43"/>
      <c r="N10" s="45"/>
      <c r="O10" s="45"/>
      <c r="P10" s="45"/>
      <c r="Q10" s="46"/>
      <c r="R10" s="47"/>
      <c r="U10" s="82"/>
      <c r="V10" s="183"/>
      <c r="W10" s="184"/>
      <c r="X10" s="185"/>
      <c r="Y10" s="185"/>
      <c r="Z10" s="185"/>
      <c r="AA10" s="185"/>
      <c r="AC10" s="179"/>
      <c r="AD10" s="179"/>
      <c r="AE10" s="179"/>
    </row>
    <row r="11" spans="1:31" ht="27.75" customHeight="1">
      <c r="A11" s="6" t="s">
        <v>15</v>
      </c>
      <c r="B11" s="180" t="s">
        <v>16</v>
      </c>
      <c r="C11" s="180"/>
      <c r="D11" s="180"/>
      <c r="E11" s="181"/>
      <c r="F11" s="181"/>
      <c r="G11" s="182" t="s">
        <v>14</v>
      </c>
      <c r="H11" s="182"/>
      <c r="I11" s="7"/>
      <c r="L11" s="33"/>
      <c r="M11" s="43"/>
      <c r="N11" s="45"/>
      <c r="O11" s="45"/>
      <c r="P11" s="45"/>
      <c r="Q11" s="47"/>
      <c r="R11" s="47"/>
      <c r="U11" s="83"/>
      <c r="V11" s="183"/>
      <c r="W11" s="184"/>
      <c r="X11" s="185"/>
      <c r="Y11" s="185"/>
      <c r="Z11" s="185"/>
      <c r="AA11" s="185"/>
      <c r="AC11" s="179"/>
      <c r="AD11" s="179"/>
      <c r="AE11" s="179"/>
    </row>
    <row r="12" spans="1:31" ht="21.75" customHeight="1">
      <c r="A12" s="186" t="s">
        <v>17</v>
      </c>
      <c r="B12" s="186"/>
      <c r="C12" s="186"/>
      <c r="D12" s="180" t="s">
        <v>18</v>
      </c>
      <c r="E12" s="180"/>
      <c r="F12" s="27"/>
      <c r="G12" s="182" t="s">
        <v>19</v>
      </c>
      <c r="H12" s="182"/>
      <c r="I12" s="16"/>
      <c r="L12" s="48"/>
      <c r="M12" s="48"/>
      <c r="N12" s="45"/>
      <c r="O12" s="45"/>
      <c r="P12" s="45"/>
      <c r="Q12" s="45"/>
      <c r="R12" s="45"/>
      <c r="U12" s="82"/>
      <c r="V12" s="184"/>
      <c r="W12" s="184"/>
      <c r="X12" s="185"/>
      <c r="Y12" s="185"/>
      <c r="Z12" s="185"/>
      <c r="AA12" s="185"/>
    </row>
    <row r="13" spans="1:31" ht="24" customHeight="1">
      <c r="A13" s="3"/>
      <c r="B13" s="3"/>
      <c r="C13" s="3"/>
      <c r="D13" s="3"/>
      <c r="E13" s="18"/>
      <c r="F13" s="3"/>
      <c r="G13" s="3"/>
      <c r="H13" s="3"/>
      <c r="I13" s="7" t="s">
        <v>20</v>
      </c>
      <c r="L13" s="48"/>
      <c r="M13" s="48"/>
      <c r="N13" s="47"/>
      <c r="O13" s="47"/>
      <c r="P13" s="47"/>
      <c r="Q13" s="45"/>
      <c r="R13" s="45"/>
      <c r="U13" s="81"/>
      <c r="V13" s="184"/>
      <c r="W13" s="184"/>
      <c r="X13" s="185"/>
      <c r="Y13" s="185"/>
      <c r="Z13" s="185"/>
      <c r="AA13" s="185"/>
    </row>
    <row r="14" spans="1:31" s="20" customFormat="1" ht="27">
      <c r="A14" s="28" t="s">
        <v>21</v>
      </c>
      <c r="B14" s="28" t="s">
        <v>22</v>
      </c>
      <c r="C14" s="199" t="s">
        <v>23</v>
      </c>
      <c r="D14" s="199"/>
      <c r="E14" s="199"/>
      <c r="F14" s="134" t="s">
        <v>24</v>
      </c>
      <c r="G14" s="28" t="s">
        <v>25</v>
      </c>
      <c r="H14" s="28" t="s">
        <v>26</v>
      </c>
      <c r="I14" s="28" t="s">
        <v>27</v>
      </c>
      <c r="L14" s="49"/>
      <c r="M14" s="49"/>
      <c r="N14" s="49"/>
      <c r="O14" s="49"/>
      <c r="P14" s="49"/>
      <c r="Q14" s="50"/>
      <c r="R14" s="50"/>
      <c r="S14" s="2"/>
      <c r="T14" s="12"/>
      <c r="U14" s="84"/>
      <c r="V14" s="84"/>
      <c r="W14" s="84"/>
      <c r="X14" s="84"/>
      <c r="Y14" s="85"/>
      <c r="Z14" s="84"/>
      <c r="AA14" s="84"/>
    </row>
    <row r="15" spans="1:31" ht="159" hidden="1" customHeight="1">
      <c r="A15" s="125">
        <v>1</v>
      </c>
      <c r="B15" s="25">
        <v>5327000115</v>
      </c>
      <c r="C15" s="200"/>
      <c r="D15" s="201"/>
      <c r="E15" s="202"/>
      <c r="F15" s="133" t="s">
        <v>29</v>
      </c>
      <c r="G15" s="125"/>
      <c r="H15" s="126"/>
      <c r="I15" s="126">
        <f>H15*G15</f>
        <v>0</v>
      </c>
      <c r="L15" s="51"/>
      <c r="M15" s="52"/>
      <c r="N15" s="43"/>
      <c r="O15" s="53"/>
      <c r="P15" s="54"/>
      <c r="Q15" s="55"/>
      <c r="R15" s="55"/>
      <c r="S15" s="2"/>
      <c r="U15" s="86"/>
      <c r="V15" s="86"/>
      <c r="W15" s="87"/>
      <c r="X15" s="86"/>
      <c r="Y15" s="88"/>
      <c r="Z15" s="89"/>
      <c r="AA15" s="89"/>
    </row>
    <row r="16" spans="1:31" ht="290.25" customHeight="1">
      <c r="A16" s="149">
        <v>1</v>
      </c>
      <c r="B16" s="147"/>
      <c r="C16" s="203"/>
      <c r="D16" s="204"/>
      <c r="E16" s="205"/>
      <c r="F16" s="144" t="s">
        <v>29</v>
      </c>
      <c r="G16" s="145"/>
      <c r="H16" s="146">
        <f>Costos!G15*1.75</f>
        <v>0</v>
      </c>
      <c r="I16" s="132">
        <f>H16*G16</f>
        <v>0</v>
      </c>
      <c r="J16" s="135"/>
      <c r="L16" s="51"/>
      <c r="M16" s="52"/>
      <c r="N16" s="43"/>
      <c r="O16" s="53"/>
      <c r="P16" s="54"/>
      <c r="Q16" s="55"/>
      <c r="R16" s="55"/>
      <c r="S16" s="2"/>
      <c r="U16" s="86"/>
      <c r="V16" s="86"/>
      <c r="W16" s="90"/>
      <c r="X16" s="86"/>
      <c r="Y16" s="88"/>
      <c r="Z16" s="89"/>
      <c r="AA16" s="89"/>
    </row>
    <row r="17" spans="1:27" ht="193.5" customHeight="1">
      <c r="A17" s="149">
        <f t="shared" ref="A17:A21" si="0">+A16+1</f>
        <v>2</v>
      </c>
      <c r="B17" s="148"/>
      <c r="C17" s="206"/>
      <c r="D17" s="207"/>
      <c r="E17" s="208"/>
      <c r="F17" s="131" t="s">
        <v>29</v>
      </c>
      <c r="G17" s="130"/>
      <c r="H17" s="132">
        <f>Costos!G16*1.5</f>
        <v>0</v>
      </c>
      <c r="I17" s="132">
        <f>H17*G17</f>
        <v>0</v>
      </c>
      <c r="J17" s="135"/>
      <c r="K17" t="s">
        <v>20</v>
      </c>
      <c r="L17" s="56"/>
      <c r="M17" s="57"/>
      <c r="N17" s="57"/>
      <c r="O17" s="58"/>
      <c r="P17" s="59"/>
      <c r="Q17" s="60"/>
      <c r="R17" s="60"/>
      <c r="S17" s="2"/>
      <c r="U17" s="86"/>
      <c r="V17" s="86"/>
      <c r="W17" s="90"/>
      <c r="X17" s="86"/>
      <c r="Y17" s="88"/>
      <c r="Z17" s="89"/>
      <c r="AA17" s="89"/>
    </row>
    <row r="18" spans="1:27" ht="183" hidden="1" customHeight="1">
      <c r="A18" s="127">
        <f t="shared" si="0"/>
        <v>3</v>
      </c>
      <c r="B18" s="128"/>
      <c r="C18" s="192"/>
      <c r="D18" s="193"/>
      <c r="E18" s="194"/>
      <c r="F18" s="129" t="s">
        <v>29</v>
      </c>
      <c r="G18" s="127">
        <f>Costos!F17</f>
        <v>0</v>
      </c>
      <c r="H18" s="137">
        <f>Costos!G17*1.5</f>
        <v>0</v>
      </c>
      <c r="I18" s="139">
        <f>+G18*H18</f>
        <v>0</v>
      </c>
      <c r="L18" s="56"/>
      <c r="M18" s="57"/>
      <c r="N18" s="57"/>
      <c r="O18" s="58"/>
      <c r="P18" s="59"/>
      <c r="Q18" s="60"/>
      <c r="R18" s="60"/>
      <c r="S18" s="2"/>
      <c r="U18" s="86"/>
      <c r="V18" s="86"/>
      <c r="W18" s="90"/>
      <c r="X18" s="86"/>
      <c r="Y18" s="88"/>
      <c r="Z18" s="89"/>
      <c r="AA18" s="89"/>
    </row>
    <row r="19" spans="1:27" ht="241.5" hidden="1" customHeight="1">
      <c r="A19" s="22">
        <f t="shared" si="0"/>
        <v>4</v>
      </c>
      <c r="B19" s="23"/>
      <c r="C19" s="195"/>
      <c r="D19" s="196"/>
      <c r="E19" s="197"/>
      <c r="F19" s="24" t="s">
        <v>29</v>
      </c>
      <c r="G19" s="22"/>
      <c r="H19" s="138">
        <f>Costos!G18*1.5</f>
        <v>0</v>
      </c>
      <c r="I19" s="140">
        <f>+G19*H19</f>
        <v>0</v>
      </c>
      <c r="L19" s="56"/>
      <c r="M19" s="57"/>
      <c r="N19" s="57"/>
      <c r="O19" s="58"/>
      <c r="P19" s="59"/>
      <c r="Q19" s="60"/>
      <c r="R19" s="60"/>
      <c r="S19" s="2"/>
      <c r="U19" s="86"/>
      <c r="V19" s="86"/>
      <c r="W19" s="90"/>
      <c r="X19" s="86"/>
      <c r="Y19" s="88"/>
      <c r="Z19" s="89"/>
      <c r="AA19" s="89"/>
    </row>
    <row r="20" spans="1:27" ht="42" hidden="1" customHeight="1">
      <c r="A20" s="22">
        <f t="shared" si="0"/>
        <v>5</v>
      </c>
      <c r="B20" s="23"/>
      <c r="C20" s="195"/>
      <c r="D20" s="196"/>
      <c r="E20" s="197"/>
      <c r="F20" s="24" t="s">
        <v>29</v>
      </c>
      <c r="G20" s="22"/>
      <c r="H20" s="138">
        <f>Costos!G19*1.5</f>
        <v>0</v>
      </c>
      <c r="I20" s="140">
        <f>+G20*H20</f>
        <v>0</v>
      </c>
      <c r="L20" s="56"/>
      <c r="M20" s="57"/>
      <c r="N20" s="57"/>
      <c r="O20" s="58"/>
      <c r="P20" s="59"/>
      <c r="Q20" s="60"/>
      <c r="R20" s="60"/>
      <c r="S20" s="2"/>
      <c r="U20" s="86"/>
      <c r="V20" s="86"/>
      <c r="W20" s="90"/>
      <c r="X20" s="86"/>
      <c r="Y20" s="88"/>
      <c r="Z20" s="89"/>
      <c r="AA20" s="89"/>
    </row>
    <row r="21" spans="1:27" ht="42" hidden="1" customHeight="1">
      <c r="A21" s="22">
        <f t="shared" si="0"/>
        <v>6</v>
      </c>
      <c r="B21" s="23"/>
      <c r="C21" s="195"/>
      <c r="D21" s="196"/>
      <c r="E21" s="197"/>
      <c r="F21" s="24" t="s">
        <v>29</v>
      </c>
      <c r="G21" s="22"/>
      <c r="H21" s="138">
        <f>Costos!G20*1.5</f>
        <v>0</v>
      </c>
      <c r="I21" s="140">
        <f>+G21*H21</f>
        <v>0</v>
      </c>
      <c r="L21" s="56"/>
      <c r="M21" s="57"/>
      <c r="N21" s="57"/>
      <c r="O21" s="58"/>
      <c r="P21" s="59"/>
      <c r="Q21" s="60"/>
      <c r="R21" s="60"/>
      <c r="S21" s="2"/>
      <c r="U21" s="86"/>
      <c r="V21" s="86"/>
      <c r="W21" s="90"/>
      <c r="X21" s="86"/>
      <c r="Y21" s="88"/>
      <c r="Z21" s="89"/>
      <c r="AA21" s="89"/>
    </row>
    <row r="22" spans="1:27" ht="42" hidden="1" customHeight="1">
      <c r="A22" s="96"/>
      <c r="B22" s="97"/>
      <c r="C22" s="198"/>
      <c r="D22" s="198"/>
      <c r="E22" s="198"/>
      <c r="F22" s="98"/>
      <c r="G22" s="99"/>
      <c r="H22" s="98"/>
      <c r="I22" s="141"/>
      <c r="L22" s="56"/>
      <c r="M22" s="57"/>
      <c r="N22" s="57"/>
      <c r="O22" s="58"/>
      <c r="P22" s="59"/>
      <c r="Q22" s="60"/>
      <c r="R22" s="60"/>
      <c r="S22" s="2"/>
      <c r="U22" s="86"/>
      <c r="V22" s="86"/>
      <c r="W22" s="90"/>
      <c r="X22" s="86"/>
      <c r="Y22" s="88"/>
      <c r="Z22" s="89"/>
      <c r="AA22" s="89"/>
    </row>
    <row r="23" spans="1:27" ht="42" hidden="1" customHeight="1">
      <c r="A23" s="93"/>
      <c r="B23" s="94"/>
      <c r="F23" s="95"/>
      <c r="H23" s="95"/>
      <c r="I23" s="142"/>
      <c r="L23" s="56"/>
      <c r="M23" s="57"/>
      <c r="N23" s="57"/>
      <c r="O23" s="58"/>
      <c r="P23" s="59"/>
      <c r="Q23" s="60"/>
      <c r="R23" s="60"/>
      <c r="S23" s="2"/>
      <c r="U23" s="86"/>
      <c r="V23" s="86"/>
      <c r="W23" s="90"/>
      <c r="X23" s="86"/>
      <c r="Y23" s="88"/>
      <c r="Z23" s="89"/>
      <c r="AA23" s="89"/>
    </row>
    <row r="24" spans="1:27" ht="34.5" hidden="1" customHeight="1">
      <c r="A24" s="93"/>
      <c r="B24" s="94"/>
      <c r="C24" s="188"/>
      <c r="D24" s="188"/>
      <c r="E24" s="188"/>
      <c r="F24" s="95"/>
      <c r="G24" s="93"/>
      <c r="H24" s="95"/>
      <c r="I24" s="143"/>
      <c r="L24" s="56"/>
      <c r="M24" s="57"/>
      <c r="N24" s="57"/>
      <c r="O24" s="58"/>
      <c r="P24" s="59"/>
      <c r="Q24" s="60"/>
      <c r="R24" s="60"/>
      <c r="S24" s="2"/>
      <c r="U24" s="86"/>
      <c r="V24" s="86"/>
      <c r="W24" s="90"/>
      <c r="X24" s="86"/>
      <c r="Y24" s="88"/>
      <c r="Z24" s="89"/>
      <c r="AA24" s="89"/>
    </row>
    <row r="25" spans="1:27" ht="69.75" customHeight="1">
      <c r="A25" s="3"/>
      <c r="C25" s="3"/>
      <c r="D25" s="3"/>
      <c r="E25" s="18"/>
      <c r="F25" s="3"/>
      <c r="G25" s="3"/>
      <c r="H25" s="3"/>
      <c r="I25" s="136"/>
      <c r="L25" s="48"/>
      <c r="M25" s="48"/>
      <c r="N25" s="48"/>
      <c r="O25" s="48"/>
      <c r="P25" s="48"/>
      <c r="Q25" s="48"/>
      <c r="R25" s="48"/>
      <c r="S25" s="13"/>
      <c r="T25" s="13"/>
      <c r="U25" s="86"/>
      <c r="V25" s="86"/>
      <c r="W25" s="86"/>
      <c r="X25" s="86"/>
      <c r="Y25" s="88"/>
      <c r="Z25" s="89"/>
      <c r="AA25" s="89"/>
    </row>
    <row r="26" spans="1:27" ht="66" customHeight="1" thickBot="1">
      <c r="A26" s="8"/>
      <c r="B26" s="8"/>
      <c r="C26" s="8"/>
      <c r="D26" s="8"/>
      <c r="E26" s="19"/>
      <c r="F26" s="3"/>
      <c r="G26" s="3"/>
      <c r="H26" s="4" t="s">
        <v>30</v>
      </c>
      <c r="I26" s="9">
        <f>SUM(I15:I24)</f>
        <v>0</v>
      </c>
      <c r="L26" s="48"/>
      <c r="M26" s="61"/>
      <c r="N26" s="61"/>
      <c r="O26" s="61"/>
      <c r="P26" s="61"/>
      <c r="Q26" s="61"/>
      <c r="R26" s="61"/>
      <c r="S26" s="3"/>
      <c r="T26" s="3"/>
      <c r="U26" s="175"/>
      <c r="V26" s="175"/>
      <c r="W26" s="175"/>
      <c r="X26" s="175"/>
      <c r="Y26" s="91"/>
      <c r="Z26" s="174"/>
      <c r="AA26" s="174"/>
    </row>
    <row r="27" spans="1:27" ht="18.75" customHeight="1">
      <c r="A27" s="176" t="s">
        <v>48</v>
      </c>
      <c r="B27" s="177"/>
      <c r="C27" s="177"/>
      <c r="D27" s="177"/>
      <c r="E27" s="177"/>
      <c r="F27" s="3"/>
      <c r="G27" s="3"/>
      <c r="H27" s="4" t="s">
        <v>31</v>
      </c>
      <c r="I27" s="10">
        <v>0</v>
      </c>
      <c r="L27" s="48"/>
      <c r="M27" s="62"/>
      <c r="N27" s="61"/>
      <c r="O27" s="61"/>
      <c r="P27" s="61"/>
      <c r="Q27" s="50"/>
      <c r="R27" s="63"/>
      <c r="S27" s="13"/>
      <c r="T27" s="13"/>
      <c r="U27" s="175"/>
      <c r="V27" s="175"/>
      <c r="W27" s="175"/>
      <c r="X27" s="175"/>
      <c r="Y27" s="91"/>
      <c r="Z27" s="174"/>
      <c r="AA27" s="174"/>
    </row>
    <row r="28" spans="1:27" ht="18.75" customHeight="1">
      <c r="A28" s="178" t="s">
        <v>32</v>
      </c>
      <c r="B28" s="178"/>
      <c r="C28" s="178"/>
      <c r="D28" s="178"/>
      <c r="E28" s="178"/>
      <c r="F28" s="3"/>
      <c r="G28" s="3"/>
      <c r="H28" s="4" t="s">
        <v>33</v>
      </c>
      <c r="I28" s="10">
        <f>(I26*0.15)</f>
        <v>0</v>
      </c>
      <c r="L28" s="48"/>
      <c r="M28" s="64"/>
      <c r="N28" s="61"/>
      <c r="O28" s="61"/>
      <c r="P28" s="61"/>
      <c r="Q28" s="65"/>
      <c r="R28" s="66"/>
      <c r="S28" s="13"/>
      <c r="T28" s="13"/>
      <c r="U28" s="175"/>
      <c r="V28" s="175"/>
      <c r="W28" s="175"/>
      <c r="X28" s="175"/>
      <c r="Y28" s="91"/>
      <c r="Z28" s="174"/>
      <c r="AA28" s="174"/>
    </row>
    <row r="29" spans="1:27" ht="27">
      <c r="A29" s="172">
        <v>908688633</v>
      </c>
      <c r="B29" s="172"/>
      <c r="C29" s="172"/>
      <c r="D29" s="172"/>
      <c r="E29" s="172"/>
      <c r="F29" s="3"/>
      <c r="G29" s="3"/>
      <c r="H29" s="6" t="s">
        <v>34</v>
      </c>
      <c r="I29" s="10">
        <f>(I26+I28)</f>
        <v>0</v>
      </c>
      <c r="L29" s="48"/>
      <c r="M29" s="67"/>
      <c r="N29" s="61"/>
      <c r="O29" s="61"/>
      <c r="P29" s="61"/>
      <c r="Q29" s="50"/>
      <c r="R29" s="68"/>
      <c r="T29" s="13"/>
      <c r="U29" s="173"/>
      <c r="V29" s="173"/>
      <c r="W29" s="173"/>
      <c r="X29" s="173"/>
      <c r="Y29" s="92"/>
      <c r="Z29" s="174"/>
      <c r="AA29" s="174"/>
    </row>
    <row r="30" spans="1:27" ht="15" customHeight="1">
      <c r="A30" s="223"/>
      <c r="B30" s="223"/>
      <c r="C30" s="223"/>
      <c r="D30" s="223"/>
      <c r="E30" s="223"/>
      <c r="F30" s="223"/>
      <c r="G30" s="223"/>
      <c r="H30" s="151"/>
      <c r="I30" s="151"/>
      <c r="L30"/>
      <c r="M30"/>
      <c r="N30"/>
      <c r="O30"/>
      <c r="P30"/>
      <c r="Q30"/>
      <c r="R30"/>
      <c r="S30"/>
      <c r="T30"/>
    </row>
    <row r="31" spans="1:27" ht="15" customHeight="1">
      <c r="A31" s="215"/>
      <c r="B31" s="215"/>
      <c r="C31" s="215"/>
      <c r="D31" s="215"/>
      <c r="E31" s="215"/>
      <c r="F31" s="215"/>
      <c r="G31" s="215"/>
      <c r="H31" s="159"/>
      <c r="I31" s="159"/>
      <c r="L31"/>
      <c r="M31"/>
      <c r="N31"/>
      <c r="O31"/>
      <c r="P31"/>
      <c r="Q31"/>
      <c r="R31"/>
      <c r="S31"/>
      <c r="T31"/>
    </row>
    <row r="32" spans="1:27" ht="15" customHeight="1">
      <c r="A32" s="224"/>
      <c r="B32" s="224"/>
      <c r="C32" s="224"/>
      <c r="D32" s="224"/>
      <c r="E32" s="224"/>
      <c r="F32" s="224"/>
      <c r="G32" s="224"/>
      <c r="H32" s="160"/>
      <c r="I32" s="160"/>
      <c r="L32"/>
      <c r="M32"/>
      <c r="N32"/>
      <c r="O32"/>
      <c r="P32"/>
      <c r="Q32"/>
      <c r="R32"/>
      <c r="S32"/>
      <c r="T32"/>
    </row>
    <row r="33" spans="2:20" ht="15" customHeight="1">
      <c r="E33"/>
      <c r="L33"/>
      <c r="M33"/>
      <c r="N33"/>
      <c r="O33"/>
      <c r="P33"/>
      <c r="Q33"/>
      <c r="R33"/>
      <c r="S33"/>
      <c r="T33"/>
    </row>
    <row r="34" spans="2:20" ht="15" customHeight="1">
      <c r="E34"/>
      <c r="L34"/>
      <c r="M34"/>
      <c r="N34"/>
      <c r="O34"/>
      <c r="P34"/>
      <c r="Q34"/>
      <c r="R34"/>
      <c r="S34"/>
      <c r="T34"/>
    </row>
    <row r="35" spans="2:20" ht="15" customHeight="1">
      <c r="E35"/>
      <c r="L35"/>
      <c r="M35"/>
      <c r="N35"/>
      <c r="O35"/>
      <c r="P35"/>
      <c r="Q35"/>
      <c r="R35"/>
      <c r="S35"/>
      <c r="T35"/>
    </row>
    <row r="36" spans="2:20" ht="15" customHeight="1">
      <c r="E36"/>
      <c r="L36"/>
      <c r="M36"/>
      <c r="N36"/>
      <c r="O36"/>
      <c r="P36"/>
      <c r="Q36"/>
      <c r="R36"/>
      <c r="S36"/>
      <c r="T36"/>
    </row>
    <row r="37" spans="2:20" ht="15" customHeight="1">
      <c r="E37"/>
      <c r="L37"/>
      <c r="M37"/>
      <c r="N37"/>
      <c r="O37"/>
      <c r="P37"/>
      <c r="Q37"/>
      <c r="R37"/>
      <c r="S37"/>
      <c r="T37"/>
    </row>
    <row r="38" spans="2:20" ht="15" customHeight="1">
      <c r="E38"/>
      <c r="L38"/>
      <c r="M38"/>
      <c r="N38"/>
      <c r="O38"/>
      <c r="P38"/>
      <c r="Q38"/>
      <c r="R38"/>
      <c r="S38"/>
      <c r="T38"/>
    </row>
    <row r="39" spans="2:20" ht="15" customHeight="1">
      <c r="E39"/>
      <c r="L39"/>
      <c r="M39"/>
      <c r="N39"/>
      <c r="O39"/>
      <c r="P39"/>
      <c r="Q39"/>
      <c r="R39"/>
      <c r="S39"/>
      <c r="T39"/>
    </row>
    <row r="40" spans="2:20" ht="15" customHeight="1">
      <c r="E40"/>
      <c r="L40"/>
      <c r="M40"/>
      <c r="N40"/>
      <c r="O40"/>
      <c r="P40"/>
      <c r="Q40"/>
      <c r="R40"/>
      <c r="S40"/>
      <c r="T40"/>
    </row>
    <row r="41" spans="2:20" ht="15" customHeight="1">
      <c r="E41"/>
      <c r="L41"/>
      <c r="M41"/>
      <c r="N41"/>
      <c r="O41"/>
      <c r="P41"/>
      <c r="Q41"/>
      <c r="R41"/>
      <c r="S41"/>
      <c r="T41"/>
    </row>
    <row r="42" spans="2:20" ht="15" customHeight="1">
      <c r="B42" s="170"/>
      <c r="C42" s="170"/>
      <c r="D42" s="170"/>
      <c r="E42" s="170"/>
      <c r="F42" s="170"/>
      <c r="G42" s="150"/>
      <c r="H42" s="150"/>
      <c r="L42"/>
      <c r="M42"/>
      <c r="N42"/>
      <c r="O42"/>
      <c r="P42"/>
      <c r="Q42"/>
      <c r="R42"/>
      <c r="S42"/>
      <c r="T42"/>
    </row>
    <row r="43" spans="2:20" ht="15" customHeight="1">
      <c r="B43" s="225"/>
      <c r="C43" s="225"/>
      <c r="E43"/>
      <c r="L43"/>
      <c r="M43"/>
      <c r="N43"/>
      <c r="O43"/>
      <c r="P43"/>
      <c r="Q43"/>
      <c r="R43"/>
      <c r="S43"/>
      <c r="T43"/>
    </row>
    <row r="44" spans="2:20" s="153" customFormat="1" ht="15" customHeight="1">
      <c r="B44" s="170"/>
      <c r="C44" s="170"/>
      <c r="D44" s="170"/>
      <c r="E44" s="170"/>
      <c r="F44" s="170"/>
      <c r="G44" s="161"/>
      <c r="H44" s="161"/>
    </row>
    <row r="45" spans="2:20" s="153" customFormat="1" ht="15" customHeight="1">
      <c r="B45" s="170"/>
      <c r="C45" s="170"/>
      <c r="D45" s="170"/>
      <c r="E45" s="170"/>
      <c r="F45" s="170"/>
      <c r="G45" s="161"/>
      <c r="L45" s="154"/>
      <c r="M45" s="155"/>
      <c r="N45" s="156"/>
      <c r="O45" s="154"/>
      <c r="P45" s="154"/>
      <c r="Q45" s="154"/>
      <c r="R45" s="154"/>
      <c r="S45" s="154"/>
      <c r="T45" s="154"/>
    </row>
    <row r="46" spans="2:20" s="153" customFormat="1" ht="15" customHeight="1">
      <c r="B46" s="170"/>
      <c r="C46" s="170"/>
      <c r="D46" s="170"/>
      <c r="E46" s="170"/>
      <c r="F46" s="170"/>
      <c r="G46" s="161"/>
      <c r="L46" s="154"/>
      <c r="M46" s="155"/>
      <c r="N46" s="157"/>
      <c r="O46" s="154"/>
      <c r="P46" s="154"/>
      <c r="Q46" s="154"/>
      <c r="R46" s="154"/>
      <c r="S46" s="154"/>
      <c r="T46" s="154"/>
    </row>
    <row r="47" spans="2:20" s="153" customFormat="1" ht="15" customHeight="1">
      <c r="B47" s="170"/>
      <c r="C47" s="170"/>
      <c r="D47" s="170"/>
      <c r="E47" s="170"/>
      <c r="F47" s="170"/>
      <c r="G47" s="161"/>
      <c r="H47" s="161"/>
      <c r="L47" s="154"/>
      <c r="M47" s="154"/>
      <c r="N47" s="154"/>
      <c r="O47" s="154"/>
      <c r="P47" s="154"/>
      <c r="Q47" s="154"/>
      <c r="R47" s="154"/>
      <c r="S47" s="154"/>
      <c r="T47" s="154"/>
    </row>
    <row r="48" spans="2:20" s="153" customFormat="1" ht="15" customHeight="1">
      <c r="B48" s="170"/>
      <c r="C48" s="170"/>
      <c r="D48" s="170"/>
      <c r="E48" s="170"/>
      <c r="F48" s="170"/>
      <c r="G48" s="158"/>
      <c r="H48" s="158"/>
      <c r="L48" s="154"/>
      <c r="M48" s="154"/>
      <c r="N48" s="154"/>
      <c r="O48" s="154"/>
      <c r="P48" s="154"/>
      <c r="Q48" s="154"/>
      <c r="R48" s="154"/>
      <c r="S48" s="154"/>
      <c r="T48" s="154"/>
    </row>
    <row r="49" spans="1:20" s="153" customFormat="1" ht="15" customHeight="1">
      <c r="B49" s="170"/>
      <c r="C49" s="170"/>
      <c r="D49" s="170"/>
      <c r="E49" s="170"/>
      <c r="F49" s="170"/>
      <c r="G49" s="161"/>
      <c r="L49" s="154"/>
      <c r="M49" s="154"/>
      <c r="N49" s="154"/>
      <c r="O49" s="154"/>
      <c r="P49" s="154"/>
      <c r="Q49" s="154"/>
      <c r="R49" s="154"/>
      <c r="S49" s="154"/>
      <c r="T49" s="154"/>
    </row>
    <row r="50" spans="1:20" s="153" customFormat="1" ht="15" customHeight="1">
      <c r="B50" s="170"/>
      <c r="C50" s="170"/>
      <c r="D50" s="170"/>
      <c r="E50" s="170"/>
      <c r="F50" s="170"/>
      <c r="G50" s="161"/>
      <c r="H50" s="161"/>
      <c r="L50" s="154"/>
      <c r="M50" s="154"/>
      <c r="N50" s="154"/>
      <c r="O50" s="154"/>
      <c r="P50" s="154"/>
      <c r="Q50" s="154"/>
      <c r="R50" s="154"/>
      <c r="S50" s="154"/>
      <c r="T50" s="154"/>
    </row>
    <row r="51" spans="1:20" ht="15" customHeight="1">
      <c r="B51" s="170"/>
      <c r="C51" s="170"/>
      <c r="D51" s="170"/>
      <c r="E51" s="170"/>
      <c r="F51" s="170"/>
      <c r="G51" s="161"/>
      <c r="H51" s="161"/>
      <c r="T51" s="11"/>
    </row>
    <row r="52" spans="1:20" ht="15" customHeight="1">
      <c r="B52" s="170"/>
      <c r="C52" s="170"/>
      <c r="D52" s="170"/>
      <c r="E52" s="170"/>
      <c r="F52" s="170"/>
      <c r="G52" s="158"/>
      <c r="H52" s="158"/>
      <c r="T52" s="11"/>
    </row>
    <row r="53" spans="1:20" ht="15" customHeight="1">
      <c r="B53" s="170"/>
      <c r="C53" s="170"/>
      <c r="D53" s="170"/>
      <c r="E53" s="170"/>
      <c r="F53" s="170"/>
      <c r="T53" s="11"/>
    </row>
    <row r="54" spans="1:20" ht="15" customHeight="1">
      <c r="A54" s="151"/>
      <c r="B54" s="170"/>
      <c r="C54" s="170"/>
      <c r="D54" s="170"/>
      <c r="E54" s="170"/>
      <c r="F54" s="170"/>
      <c r="G54" s="151"/>
      <c r="H54" s="151"/>
      <c r="I54" s="151"/>
      <c r="J54" s="14"/>
      <c r="T54" s="11"/>
    </row>
    <row r="55" spans="1:20" ht="15" customHeight="1">
      <c r="B55" s="170"/>
      <c r="C55" s="170"/>
      <c r="D55" s="170"/>
      <c r="E55" s="170"/>
      <c r="F55" s="170"/>
      <c r="H55" s="168"/>
      <c r="I55" s="168"/>
    </row>
    <row r="56" spans="1:20" ht="15" customHeight="1">
      <c r="B56" s="170"/>
      <c r="C56" s="170"/>
      <c r="D56" s="170"/>
      <c r="E56" s="170"/>
      <c r="F56" s="170"/>
      <c r="H56" s="168"/>
      <c r="I56" s="168"/>
    </row>
    <row r="57" spans="1:20" ht="15" customHeight="1">
      <c r="B57" s="170"/>
      <c r="C57" s="170"/>
      <c r="D57" s="170"/>
      <c r="E57" s="170"/>
      <c r="F57" s="170"/>
      <c r="H57" s="169"/>
      <c r="I57" s="169"/>
    </row>
    <row r="58" spans="1:20" ht="15" customHeight="1">
      <c r="A58" s="162"/>
      <c r="B58" s="171"/>
      <c r="C58" s="171"/>
      <c r="D58" s="171"/>
      <c r="E58" s="171"/>
      <c r="F58" s="171"/>
      <c r="G58" s="162"/>
      <c r="H58" s="169"/>
      <c r="I58" s="169"/>
    </row>
    <row r="59" spans="1:20" ht="15" customHeight="1">
      <c r="A59" s="171"/>
      <c r="B59" s="171"/>
      <c r="C59" s="171"/>
      <c r="D59" s="171"/>
      <c r="E59" s="171"/>
      <c r="F59" s="171"/>
      <c r="G59" s="171"/>
      <c r="H59" s="169"/>
      <c r="I59" s="169"/>
    </row>
    <row r="60" spans="1:20" ht="15" customHeight="1">
      <c r="A60" s="223"/>
      <c r="B60" s="223"/>
      <c r="C60" s="223"/>
      <c r="D60" s="223"/>
      <c r="E60" s="223"/>
      <c r="F60" s="223"/>
      <c r="G60" s="223"/>
    </row>
    <row r="61" spans="1:20" ht="15" customHeight="1">
      <c r="A61" s="215"/>
      <c r="B61" s="215"/>
      <c r="C61" s="215"/>
      <c r="D61" s="215"/>
      <c r="E61" s="215"/>
      <c r="F61" s="215"/>
      <c r="G61" s="215"/>
    </row>
    <row r="62" spans="1:20" ht="15" customHeight="1">
      <c r="A62" s="224"/>
      <c r="B62" s="224"/>
      <c r="C62" s="224"/>
      <c r="D62" s="224"/>
      <c r="E62" s="224"/>
      <c r="F62" s="224"/>
      <c r="G62" s="224"/>
    </row>
    <row r="63" spans="1:20" ht="15" customHeight="1">
      <c r="A63" s="152"/>
      <c r="B63" s="152"/>
      <c r="C63" s="152"/>
      <c r="D63" s="152"/>
      <c r="E63" s="152"/>
      <c r="F63" s="152"/>
      <c r="G63" s="152"/>
    </row>
    <row r="64" spans="1:20" ht="15" customHeight="1">
      <c r="A64" s="152"/>
      <c r="B64" s="152"/>
      <c r="C64" s="152"/>
      <c r="D64" s="152"/>
      <c r="E64" s="152"/>
      <c r="F64" s="152"/>
      <c r="G64" s="152"/>
    </row>
    <row r="65" spans="1:7" ht="15" customHeight="1">
      <c r="A65" s="152"/>
      <c r="B65" s="152"/>
      <c r="C65" s="152"/>
      <c r="D65" s="152"/>
      <c r="E65" s="152"/>
      <c r="F65" s="152"/>
      <c r="G65" s="152"/>
    </row>
    <row r="66" spans="1:7" ht="15" customHeight="1">
      <c r="A66" s="152"/>
      <c r="B66" s="152"/>
      <c r="C66" s="152"/>
      <c r="D66" s="152"/>
      <c r="E66" s="152"/>
      <c r="F66" s="152"/>
      <c r="G66" s="152"/>
    </row>
    <row r="67" spans="1:7" ht="15" customHeight="1">
      <c r="A67" s="152"/>
      <c r="B67" s="152"/>
      <c r="C67" s="152"/>
      <c r="D67" s="152"/>
      <c r="E67" s="152"/>
      <c r="F67" s="152"/>
      <c r="G67" s="152"/>
    </row>
    <row r="68" spans="1:7" ht="15" customHeight="1">
      <c r="A68" s="152"/>
      <c r="B68" s="152"/>
      <c r="C68" s="152"/>
      <c r="D68" s="152"/>
      <c r="E68" s="152"/>
      <c r="F68" s="152"/>
      <c r="G68" s="152"/>
    </row>
    <row r="69" spans="1:7" ht="15" customHeight="1">
      <c r="A69" s="152"/>
      <c r="B69" s="152"/>
      <c r="C69" s="152"/>
      <c r="D69" s="152"/>
      <c r="E69" s="152"/>
      <c r="F69" s="152"/>
      <c r="G69" s="152"/>
    </row>
    <row r="70" spans="1:7" ht="15" customHeight="1">
      <c r="A70" s="152"/>
      <c r="B70" s="152"/>
      <c r="C70" s="152"/>
      <c r="D70" s="152"/>
      <c r="E70" s="152"/>
      <c r="F70" s="152"/>
      <c r="G70" s="152"/>
    </row>
    <row r="71" spans="1:7" ht="15" customHeight="1">
      <c r="A71" s="152"/>
      <c r="B71" s="152"/>
      <c r="C71" s="152"/>
      <c r="D71" s="152"/>
      <c r="E71" s="152"/>
      <c r="F71" s="152"/>
      <c r="G71" s="152"/>
    </row>
    <row r="72" spans="1:7" ht="15" customHeight="1">
      <c r="A72" s="152"/>
      <c r="B72" s="170"/>
      <c r="C72" s="170"/>
      <c r="D72" s="170"/>
      <c r="E72" s="170"/>
      <c r="F72" s="170"/>
      <c r="G72" s="150"/>
    </row>
    <row r="73" spans="1:7" ht="15" customHeight="1">
      <c r="A73" s="152"/>
      <c r="B73" s="225"/>
      <c r="C73" s="225"/>
      <c r="D73" s="152"/>
      <c r="E73" s="152"/>
      <c r="F73" s="152"/>
      <c r="G73" s="152"/>
    </row>
    <row r="74" spans="1:7" ht="15" customHeight="1">
      <c r="A74" s="153"/>
      <c r="B74" s="170"/>
      <c r="C74" s="170"/>
      <c r="D74" s="170"/>
      <c r="E74" s="170"/>
      <c r="F74" s="170"/>
      <c r="G74" s="161"/>
    </row>
    <row r="75" spans="1:7" ht="15" customHeight="1">
      <c r="A75" s="153"/>
      <c r="B75" s="170"/>
      <c r="C75" s="170"/>
      <c r="D75" s="170"/>
      <c r="E75" s="170"/>
      <c r="F75" s="170"/>
      <c r="G75" s="161"/>
    </row>
    <row r="76" spans="1:7" ht="15" customHeight="1">
      <c r="A76" s="153"/>
      <c r="B76" s="170"/>
      <c r="C76" s="170"/>
      <c r="D76" s="170"/>
      <c r="E76" s="170"/>
      <c r="F76" s="170"/>
      <c r="G76" s="161"/>
    </row>
    <row r="77" spans="1:7" ht="15" customHeight="1">
      <c r="A77" s="153"/>
      <c r="B77" s="170"/>
      <c r="C77" s="170"/>
      <c r="D77" s="170"/>
      <c r="E77" s="170"/>
      <c r="F77" s="170"/>
      <c r="G77" s="161"/>
    </row>
    <row r="78" spans="1:7" ht="15" customHeight="1">
      <c r="A78" s="153"/>
      <c r="B78" s="170"/>
      <c r="C78" s="170"/>
      <c r="D78" s="170"/>
      <c r="E78" s="170"/>
      <c r="F78" s="170"/>
      <c r="G78" s="158"/>
    </row>
    <row r="79" spans="1:7" ht="15" customHeight="1">
      <c r="A79" s="153"/>
      <c r="B79" s="170"/>
      <c r="C79" s="170"/>
      <c r="D79" s="170"/>
      <c r="E79" s="170"/>
      <c r="F79" s="170"/>
      <c r="G79" s="161"/>
    </row>
    <row r="80" spans="1:7" ht="15" customHeight="1">
      <c r="A80" s="153"/>
      <c r="B80" s="170"/>
      <c r="C80" s="170"/>
      <c r="D80" s="170"/>
      <c r="E80" s="170"/>
      <c r="F80" s="170"/>
      <c r="G80" s="161"/>
    </row>
    <row r="81" spans="1:7" ht="15" customHeight="1">
      <c r="A81" s="152"/>
      <c r="B81" s="170"/>
      <c r="C81" s="170"/>
      <c r="D81" s="170"/>
      <c r="E81" s="170"/>
      <c r="F81" s="170"/>
      <c r="G81" s="161"/>
    </row>
    <row r="82" spans="1:7" ht="15" customHeight="1">
      <c r="A82" s="152"/>
      <c r="B82" s="170"/>
      <c r="C82" s="170"/>
      <c r="D82" s="170"/>
      <c r="E82" s="170"/>
      <c r="F82" s="170"/>
      <c r="G82" s="158"/>
    </row>
    <row r="83" spans="1:7" ht="15" customHeight="1">
      <c r="A83" s="152"/>
      <c r="B83" s="170"/>
      <c r="C83" s="170"/>
      <c r="D83" s="170"/>
      <c r="E83" s="170"/>
      <c r="F83" s="170"/>
      <c r="G83" s="152"/>
    </row>
    <row r="84" spans="1:7" ht="15" customHeight="1">
      <c r="A84" s="151"/>
      <c r="B84" s="170"/>
      <c r="C84" s="170"/>
      <c r="D84" s="170"/>
      <c r="E84" s="170"/>
      <c r="F84" s="170"/>
      <c r="G84" s="151"/>
    </row>
    <row r="85" spans="1:7" ht="15" customHeight="1">
      <c r="A85" s="152"/>
      <c r="B85" s="170"/>
      <c r="C85" s="170"/>
      <c r="D85" s="170"/>
      <c r="E85" s="170"/>
      <c r="F85" s="170"/>
      <c r="G85" s="152"/>
    </row>
    <row r="86" spans="1:7" ht="15" customHeight="1">
      <c r="A86" s="152"/>
      <c r="B86" s="170"/>
      <c r="C86" s="170"/>
      <c r="D86" s="170"/>
      <c r="E86" s="170"/>
      <c r="F86" s="170"/>
      <c r="G86" s="152"/>
    </row>
    <row r="87" spans="1:7" ht="15" customHeight="1">
      <c r="A87" s="152"/>
      <c r="B87" s="170"/>
      <c r="C87" s="170"/>
      <c r="D87" s="170"/>
      <c r="E87" s="170"/>
      <c r="F87" s="170"/>
      <c r="G87" s="152"/>
    </row>
    <row r="88" spans="1:7" ht="15" customHeight="1">
      <c r="A88" s="162"/>
      <c r="B88" s="171"/>
      <c r="C88" s="171"/>
      <c r="D88" s="171"/>
      <c r="E88" s="171"/>
      <c r="F88" s="171"/>
      <c r="G88" s="162"/>
    </row>
    <row r="89" spans="1:7" ht="15" customHeight="1">
      <c r="A89" s="171"/>
      <c r="B89" s="171"/>
      <c r="C89" s="171"/>
      <c r="D89" s="171"/>
      <c r="E89" s="171"/>
      <c r="F89" s="171"/>
      <c r="G89" s="171"/>
    </row>
    <row r="90" spans="1:7" ht="15" customHeight="1"/>
    <row r="91" spans="1:7" ht="15" customHeight="1"/>
    <row r="92" spans="1:7" ht="15" customHeight="1"/>
    <row r="93" spans="1:7" ht="15" customHeight="1"/>
    <row r="94" spans="1:7" ht="15" customHeight="1"/>
    <row r="95" spans="1:7" ht="15" customHeight="1"/>
    <row r="96" spans="1:7" ht="15" customHeight="1"/>
    <row r="97" ht="15" customHeight="1"/>
    <row r="98" ht="15" customHeight="1"/>
    <row r="99" ht="15" customHeight="1"/>
    <row r="100" ht="15" customHeight="1"/>
  </sheetData>
  <mergeCells count="103">
    <mergeCell ref="B88:F88"/>
    <mergeCell ref="A89:G89"/>
    <mergeCell ref="B83:F83"/>
    <mergeCell ref="B84:F84"/>
    <mergeCell ref="B85:F85"/>
    <mergeCell ref="B86:F86"/>
    <mergeCell ref="B87:F87"/>
    <mergeCell ref="B78:F78"/>
    <mergeCell ref="B79:F79"/>
    <mergeCell ref="B80:F80"/>
    <mergeCell ref="B81:F81"/>
    <mergeCell ref="B82:F82"/>
    <mergeCell ref="B50:F50"/>
    <mergeCell ref="B43:C43"/>
    <mergeCell ref="B73:C73"/>
    <mergeCell ref="B74:F74"/>
    <mergeCell ref="B75:F75"/>
    <mergeCell ref="B76:F76"/>
    <mergeCell ref="B77:F77"/>
    <mergeCell ref="A59:G59"/>
    <mergeCell ref="A60:G60"/>
    <mergeCell ref="A61:G61"/>
    <mergeCell ref="A62:G62"/>
    <mergeCell ref="B72:F72"/>
    <mergeCell ref="B5:D5"/>
    <mergeCell ref="M5:R5"/>
    <mergeCell ref="L1:P1"/>
    <mergeCell ref="Q1:R3"/>
    <mergeCell ref="U1:AA1"/>
    <mergeCell ref="A2:I2"/>
    <mergeCell ref="L2:M2"/>
    <mergeCell ref="O2:P2"/>
    <mergeCell ref="B3:C3"/>
    <mergeCell ref="G3:I4"/>
    <mergeCell ref="U3:Y3"/>
    <mergeCell ref="B4:E4"/>
    <mergeCell ref="U4:W4"/>
    <mergeCell ref="Y4:Z4"/>
    <mergeCell ref="Y5:Z5"/>
    <mergeCell ref="B10:F10"/>
    <mergeCell ref="G10:H10"/>
    <mergeCell ref="V10:W10"/>
    <mergeCell ref="C24:E24"/>
    <mergeCell ref="F6:G6"/>
    <mergeCell ref="Y6:Z6"/>
    <mergeCell ref="N7:R7"/>
    <mergeCell ref="C18:E18"/>
    <mergeCell ref="C19:E19"/>
    <mergeCell ref="C20:E20"/>
    <mergeCell ref="C21:E21"/>
    <mergeCell ref="C22:E22"/>
    <mergeCell ref="C14:E14"/>
    <mergeCell ref="C15:E15"/>
    <mergeCell ref="C16:E16"/>
    <mergeCell ref="C17:E17"/>
    <mergeCell ref="U29:X29"/>
    <mergeCell ref="Z29:AA29"/>
    <mergeCell ref="U26:X28"/>
    <mergeCell ref="Z26:AA26"/>
    <mergeCell ref="A27:E27"/>
    <mergeCell ref="Z27:AA27"/>
    <mergeCell ref="A28:E28"/>
    <mergeCell ref="Z28:AA28"/>
    <mergeCell ref="AC10:AE11"/>
    <mergeCell ref="B11:D11"/>
    <mergeCell ref="E11:F11"/>
    <mergeCell ref="G11:H11"/>
    <mergeCell ref="V11:W11"/>
    <mergeCell ref="X8:AA13"/>
    <mergeCell ref="A12:C12"/>
    <mergeCell ref="D12:E12"/>
    <mergeCell ref="G12:H12"/>
    <mergeCell ref="V12:W12"/>
    <mergeCell ref="B8:G8"/>
    <mergeCell ref="V8:W8"/>
    <mergeCell ref="V13:W13"/>
    <mergeCell ref="B9:F9"/>
    <mergeCell ref="G9:H9"/>
    <mergeCell ref="V9:W9"/>
    <mergeCell ref="H55:I55"/>
    <mergeCell ref="H56:I56"/>
    <mergeCell ref="H57:I57"/>
    <mergeCell ref="H58:I58"/>
    <mergeCell ref="H59:I59"/>
    <mergeCell ref="B54:F54"/>
    <mergeCell ref="B56:F56"/>
    <mergeCell ref="B58:F58"/>
    <mergeCell ref="A29:E29"/>
    <mergeCell ref="A30:G30"/>
    <mergeCell ref="A31:G31"/>
    <mergeCell ref="A32:G32"/>
    <mergeCell ref="B42:F42"/>
    <mergeCell ref="B52:F52"/>
    <mergeCell ref="B51:F51"/>
    <mergeCell ref="B53:F53"/>
    <mergeCell ref="B55:F55"/>
    <mergeCell ref="B57:F57"/>
    <mergeCell ref="B48:F48"/>
    <mergeCell ref="B44:F44"/>
    <mergeCell ref="B45:F45"/>
    <mergeCell ref="B47:F47"/>
    <mergeCell ref="B49:F49"/>
    <mergeCell ref="B46:F46"/>
  </mergeCells>
  <hyperlinks>
    <hyperlink ref="B5" r:id="rId1" xr:uid="{7DFA5BE9-163E-416D-9A81-D01A00B1BF49}"/>
    <hyperlink ref="B6" r:id="rId2" xr:uid="{704F7C79-F52A-4E82-AF66-019CDDDB0E42}"/>
    <hyperlink ref="B5:D5" r:id="rId3" display="importadoracruzec@gmail.com" xr:uid="{187958E0-7637-4C8D-A4DD-74D25D3A3953}"/>
  </hyperlinks>
  <printOptions horizontalCentered="1"/>
  <pageMargins left="0.11811023622047245" right="0.23622047244094491" top="0.35433070866141736" bottom="0.35433070866141736" header="0.31496062992125984" footer="0.31496062992125984"/>
  <pageSetup paperSize="9" scale="67" fitToHeight="0" orientation="portrait" r:id="rId4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5D834-CF4B-4475-9F3C-5EC1A7529E35}">
  <dimension ref="A3:O23"/>
  <sheetViews>
    <sheetView showGridLines="0" tabSelected="1" workbookViewId="0">
      <selection activeCell="J16" sqref="J16:K16"/>
    </sheetView>
  </sheetViews>
  <sheetFormatPr baseColWidth="10" defaultRowHeight="14.4"/>
  <cols>
    <col min="2" max="2" width="8.109375" customWidth="1"/>
    <col min="3" max="3" width="19.5546875" customWidth="1"/>
    <col min="4" max="4" width="25" customWidth="1"/>
    <col min="10" max="10" width="19" customWidth="1"/>
    <col min="11" max="11" width="19.6640625" customWidth="1"/>
  </cols>
  <sheetData>
    <row r="3" spans="1:15" ht="28.8">
      <c r="A3" s="240" t="s">
        <v>43</v>
      </c>
      <c r="B3" s="240"/>
      <c r="C3" s="240"/>
      <c r="D3" s="240"/>
      <c r="E3" s="240"/>
      <c r="F3" s="240"/>
      <c r="G3" s="240"/>
      <c r="H3" s="240"/>
      <c r="I3" s="240"/>
      <c r="J3" s="240"/>
      <c r="K3" s="240"/>
      <c r="L3" s="240"/>
      <c r="M3" s="240"/>
      <c r="N3" s="240"/>
      <c r="O3" s="240"/>
    </row>
    <row r="4" spans="1:15" ht="15.6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100"/>
      <c r="O4" s="29"/>
    </row>
    <row r="5" spans="1:15" ht="15.6">
      <c r="A5" s="29"/>
      <c r="B5" s="29"/>
      <c r="C5" s="236"/>
      <c r="D5" s="236"/>
      <c r="E5" s="236"/>
      <c r="F5" s="236"/>
      <c r="G5" s="236"/>
      <c r="H5" s="236"/>
      <c r="I5" s="29"/>
      <c r="J5" s="29"/>
      <c r="K5" s="29"/>
      <c r="L5" s="29"/>
      <c r="M5" s="101"/>
      <c r="N5" s="100"/>
      <c r="O5" s="29"/>
    </row>
    <row r="6" spans="1:15" ht="21">
      <c r="A6" s="29"/>
      <c r="B6" s="29"/>
      <c r="C6" s="245" t="s">
        <v>38</v>
      </c>
      <c r="D6" s="245"/>
      <c r="E6" s="245"/>
      <c r="F6" s="245"/>
      <c r="G6" s="246" t="s">
        <v>39</v>
      </c>
      <c r="H6" s="246"/>
      <c r="I6" s="237" t="s">
        <v>35</v>
      </c>
      <c r="J6" s="237"/>
      <c r="K6" s="108">
        <f>'Cotización '!I26</f>
        <v>0</v>
      </c>
      <c r="L6" s="29"/>
      <c r="M6" s="29"/>
      <c r="N6" s="100"/>
      <c r="O6" s="29"/>
    </row>
    <row r="7" spans="1:15" ht="21" customHeight="1">
      <c r="A7" s="29"/>
      <c r="B7" s="29"/>
      <c r="C7" s="248"/>
      <c r="D7" s="248"/>
      <c r="E7" s="248"/>
      <c r="F7" s="248"/>
      <c r="G7" s="230"/>
      <c r="H7" s="231"/>
      <c r="I7" s="102"/>
      <c r="J7" s="103" t="s">
        <v>36</v>
      </c>
      <c r="K7" s="109">
        <f>('Cotización '!I26-H22)</f>
        <v>0</v>
      </c>
      <c r="L7" s="29"/>
      <c r="M7" s="29"/>
      <c r="N7" s="100"/>
      <c r="O7" s="29"/>
    </row>
    <row r="8" spans="1:15" ht="21" customHeight="1">
      <c r="A8" s="29"/>
      <c r="B8" s="29"/>
      <c r="C8" s="249"/>
      <c r="D8" s="249"/>
      <c r="E8" s="249"/>
      <c r="F8" s="249"/>
      <c r="G8" s="232"/>
      <c r="H8" s="233"/>
      <c r="I8" s="102"/>
      <c r="J8" s="104" t="s">
        <v>37</v>
      </c>
      <c r="K8" s="105">
        <f>H22</f>
        <v>0</v>
      </c>
      <c r="L8" s="29"/>
      <c r="M8" s="29"/>
      <c r="N8" s="100"/>
      <c r="O8" s="29"/>
    </row>
    <row r="9" spans="1:15" ht="15.6" customHeight="1">
      <c r="A9" s="29"/>
      <c r="B9" s="29"/>
      <c r="C9" s="249"/>
      <c r="D9" s="249"/>
      <c r="E9" s="249"/>
      <c r="F9" s="249"/>
      <c r="G9" s="234"/>
      <c r="H9" s="235"/>
      <c r="I9" s="29"/>
      <c r="J9" s="29"/>
      <c r="K9" s="29"/>
      <c r="L9" s="29"/>
      <c r="M9" s="29"/>
      <c r="N9" s="100"/>
      <c r="O9" s="29"/>
    </row>
    <row r="10" spans="1:15" ht="15.6">
      <c r="A10" s="29"/>
      <c r="B10" s="29"/>
      <c r="C10" s="247" t="s">
        <v>44</v>
      </c>
      <c r="D10" s="247"/>
      <c r="E10" s="247"/>
      <c r="F10" s="247"/>
      <c r="G10" s="124"/>
      <c r="H10" s="124"/>
      <c r="I10" s="29"/>
      <c r="J10" s="106"/>
      <c r="K10" s="29"/>
      <c r="L10" s="29"/>
      <c r="M10" s="29"/>
      <c r="N10" s="100"/>
      <c r="O10" s="29"/>
    </row>
    <row r="11" spans="1:15" ht="15.6">
      <c r="A11" s="29"/>
      <c r="B11" s="29"/>
      <c r="C11" s="247" t="s">
        <v>45</v>
      </c>
      <c r="D11" s="247"/>
      <c r="E11" s="247"/>
      <c r="F11" s="247"/>
      <c r="G11" s="247"/>
      <c r="H11" s="247"/>
      <c r="I11" s="29"/>
      <c r="J11" s="29"/>
      <c r="K11" s="107"/>
      <c r="L11" s="107"/>
      <c r="M11" s="107"/>
      <c r="N11" s="100"/>
      <c r="O11" s="29"/>
    </row>
    <row r="12" spans="1:15" ht="15.6">
      <c r="A12" s="29"/>
      <c r="B12" s="29"/>
      <c r="C12" s="247"/>
      <c r="D12" s="247"/>
      <c r="E12" s="247"/>
      <c r="F12" s="247"/>
      <c r="G12" s="247"/>
      <c r="H12" s="247"/>
      <c r="I12" s="29"/>
      <c r="J12" s="29"/>
      <c r="K12" s="107"/>
      <c r="L12" s="107"/>
      <c r="M12" s="107"/>
      <c r="N12" s="100"/>
      <c r="O12" s="29"/>
    </row>
    <row r="13" spans="1:15" ht="15.6">
      <c r="A13" s="29"/>
      <c r="B13" s="29"/>
      <c r="C13" s="250" t="s">
        <v>46</v>
      </c>
      <c r="D13" s="250"/>
      <c r="E13" s="250"/>
      <c r="F13" s="250"/>
      <c r="G13" s="250"/>
      <c r="H13" s="250"/>
      <c r="I13" s="29"/>
      <c r="J13" s="252"/>
      <c r="K13" s="252"/>
      <c r="L13" s="252"/>
      <c r="M13" s="252"/>
      <c r="N13" s="100"/>
      <c r="O13" s="29"/>
    </row>
    <row r="14" spans="1:15" ht="46.8">
      <c r="A14" s="29"/>
      <c r="B14" s="29"/>
      <c r="C14" s="238" t="s">
        <v>40</v>
      </c>
      <c r="D14" s="238"/>
      <c r="E14" s="121" t="s">
        <v>50</v>
      </c>
      <c r="F14" s="121" t="s">
        <v>41</v>
      </c>
      <c r="G14" s="122" t="s">
        <v>49</v>
      </c>
      <c r="H14" s="123" t="s">
        <v>28</v>
      </c>
      <c r="I14" s="124"/>
      <c r="J14" s="163" t="s">
        <v>52</v>
      </c>
      <c r="K14" s="255"/>
      <c r="L14" s="256"/>
      <c r="M14" s="257"/>
      <c r="N14" s="100"/>
      <c r="O14" s="29"/>
    </row>
    <row r="15" spans="1:15" ht="45" customHeight="1">
      <c r="A15" s="29"/>
      <c r="B15" s="29"/>
      <c r="C15" s="226"/>
      <c r="D15" s="227"/>
      <c r="E15" s="110"/>
      <c r="F15" s="119"/>
      <c r="G15" s="111"/>
      <c r="H15" s="112">
        <f>G15*F15</f>
        <v>0</v>
      </c>
      <c r="I15" s="113"/>
      <c r="J15" s="253" t="s">
        <v>42</v>
      </c>
      <c r="K15" s="250"/>
      <c r="L15" s="254"/>
      <c r="M15" s="254"/>
      <c r="N15" s="30"/>
      <c r="O15" s="29"/>
    </row>
    <row r="16" spans="1:15" ht="45" customHeight="1">
      <c r="A16" s="29"/>
      <c r="B16" s="29"/>
      <c r="C16" s="244"/>
      <c r="D16" s="244"/>
      <c r="E16" s="112"/>
      <c r="F16" s="120"/>
      <c r="G16" s="114"/>
      <c r="H16" s="112">
        <f>G16*F16</f>
        <v>0</v>
      </c>
      <c r="I16" s="113"/>
      <c r="J16" s="229"/>
      <c r="K16" s="251"/>
      <c r="L16" s="166"/>
      <c r="M16" s="167"/>
      <c r="N16" s="30"/>
      <c r="O16" s="29"/>
    </row>
    <row r="17" spans="1:15" ht="45" customHeight="1">
      <c r="A17" s="29"/>
      <c r="B17" s="29"/>
      <c r="C17" s="239"/>
      <c r="D17" s="239"/>
      <c r="E17" s="111"/>
      <c r="F17" s="119"/>
      <c r="G17" s="111"/>
      <c r="H17" s="111">
        <f>(G17*F17)</f>
        <v>0</v>
      </c>
      <c r="I17" s="115"/>
      <c r="J17" s="229"/>
      <c r="K17" s="251"/>
      <c r="L17" s="164"/>
      <c r="M17" s="165"/>
      <c r="N17" s="30"/>
      <c r="O17" s="29"/>
    </row>
    <row r="18" spans="1:15" ht="45" customHeight="1">
      <c r="A18" s="29"/>
      <c r="B18" s="29"/>
      <c r="C18" s="228"/>
      <c r="D18" s="228"/>
      <c r="E18" s="111"/>
      <c r="F18" s="119"/>
      <c r="G18" s="111"/>
      <c r="H18" s="111">
        <f>(G18*F18)</f>
        <v>0</v>
      </c>
      <c r="I18" s="115"/>
      <c r="J18" s="229"/>
      <c r="K18" s="251"/>
      <c r="L18" s="164"/>
      <c r="M18" s="165"/>
      <c r="N18" s="30"/>
      <c r="O18" s="29"/>
    </row>
    <row r="19" spans="1:15" ht="45" customHeight="1">
      <c r="A19" s="29"/>
      <c r="B19" s="29"/>
      <c r="C19" s="228"/>
      <c r="D19" s="228"/>
      <c r="E19" s="111"/>
      <c r="F19" s="119"/>
      <c r="G19" s="111"/>
      <c r="H19" s="111">
        <f>(G19*F19)</f>
        <v>0</v>
      </c>
      <c r="I19" s="116"/>
      <c r="J19" s="229"/>
      <c r="K19" s="251"/>
      <c r="L19" s="164"/>
      <c r="M19" s="165"/>
      <c r="N19" s="100"/>
      <c r="O19" s="29"/>
    </row>
    <row r="20" spans="1:15" ht="45" customHeight="1">
      <c r="A20" s="29"/>
      <c r="B20" s="29"/>
      <c r="C20" s="228"/>
      <c r="D20" s="228"/>
      <c r="E20" s="111"/>
      <c r="F20" s="119"/>
      <c r="G20" s="111"/>
      <c r="H20" s="111">
        <f>(G20*F20)</f>
        <v>0</v>
      </c>
      <c r="I20" s="116"/>
      <c r="J20" s="229"/>
      <c r="K20" s="251"/>
      <c r="L20" s="164"/>
      <c r="M20" s="165"/>
      <c r="N20" s="100"/>
      <c r="O20" s="29"/>
    </row>
    <row r="21" spans="1:15" ht="30" customHeight="1">
      <c r="A21" s="29"/>
      <c r="B21" s="29"/>
      <c r="C21" s="116"/>
      <c r="D21" s="116"/>
      <c r="E21" s="117">
        <f>E15*F15</f>
        <v>0</v>
      </c>
      <c r="F21" s="117"/>
      <c r="G21" s="117"/>
      <c r="H21" s="117"/>
      <c r="I21" s="116"/>
      <c r="J21" s="241"/>
      <c r="K21" s="241"/>
      <c r="L21" s="116"/>
      <c r="M21" s="116"/>
      <c r="N21" s="100"/>
      <c r="O21" s="29"/>
    </row>
    <row r="22" spans="1:15" ht="30" customHeight="1">
      <c r="A22" s="29"/>
      <c r="B22" s="29"/>
      <c r="C22" s="116"/>
      <c r="D22" s="116"/>
      <c r="E22" s="117"/>
      <c r="F22" s="117"/>
      <c r="G22" s="117"/>
      <c r="H22" s="117">
        <f>SUM(H15:H20)</f>
        <v>0</v>
      </c>
      <c r="I22" s="243" t="s">
        <v>47</v>
      </c>
      <c r="J22" s="243"/>
      <c r="K22" s="118"/>
      <c r="L22" s="116"/>
      <c r="M22" s="116"/>
      <c r="N22" s="100"/>
      <c r="O22" s="29"/>
    </row>
    <row r="23" spans="1:15" ht="30" customHeight="1">
      <c r="A23" s="29"/>
      <c r="B23" s="29"/>
      <c r="C23" s="116"/>
      <c r="D23" s="116"/>
      <c r="E23" s="117">
        <f>K6-E21</f>
        <v>0</v>
      </c>
      <c r="F23" s="117"/>
      <c r="G23" s="117"/>
      <c r="H23" s="117"/>
      <c r="I23" s="116"/>
      <c r="J23" s="242"/>
      <c r="K23" s="242"/>
      <c r="L23" s="116"/>
      <c r="M23" s="116"/>
      <c r="N23" s="100"/>
      <c r="O23" s="29"/>
    </row>
  </sheetData>
  <mergeCells count="28">
    <mergeCell ref="J16:K16"/>
    <mergeCell ref="J17:K17"/>
    <mergeCell ref="J18:K18"/>
    <mergeCell ref="K14:M14"/>
    <mergeCell ref="A3:O3"/>
    <mergeCell ref="J21:K21"/>
    <mergeCell ref="J23:K23"/>
    <mergeCell ref="I22:J22"/>
    <mergeCell ref="C16:D16"/>
    <mergeCell ref="C6:F6"/>
    <mergeCell ref="G6:H6"/>
    <mergeCell ref="C10:F10"/>
    <mergeCell ref="C11:H12"/>
    <mergeCell ref="C7:F9"/>
    <mergeCell ref="C19:D19"/>
    <mergeCell ref="J19:K19"/>
    <mergeCell ref="C20:D20"/>
    <mergeCell ref="J20:K20"/>
    <mergeCell ref="C13:H13"/>
    <mergeCell ref="C18:D18"/>
    <mergeCell ref="C17:D17"/>
    <mergeCell ref="C15:D15"/>
    <mergeCell ref="G7:H9"/>
    <mergeCell ref="C5:H5"/>
    <mergeCell ref="I6:J6"/>
    <mergeCell ref="C14:D14"/>
    <mergeCell ref="J15:K15"/>
    <mergeCell ref="L15:M1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Cotización </vt:lpstr>
      <vt:lpstr>Costos</vt:lpstr>
      <vt:lpstr>'Cotización 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Michelle Barreto</dc:creator>
  <cp:keywords/>
  <dc:description/>
  <cp:lastModifiedBy>Donald Medina</cp:lastModifiedBy>
  <cp:revision/>
  <cp:lastPrinted>2026-03-05T19:44:20Z</cp:lastPrinted>
  <dcterms:created xsi:type="dcterms:W3CDTF">2024-03-25T08:17:41Z</dcterms:created>
  <dcterms:modified xsi:type="dcterms:W3CDTF">2026-03-22T09:13:36Z</dcterms:modified>
  <cp:category/>
  <cp:contentStatus/>
</cp:coreProperties>
</file>